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Fruit" sheetId="1" r:id="rId4"/>
    <sheet state="visible" name="MetaFruit_Document" sheetId="2" r:id="rId5"/>
    <sheet state="visible" name="Iteration Plan" sheetId="3" r:id="rId6"/>
    <sheet state="visible" name="Loc" sheetId="4" r:id="rId7"/>
    <sheet state="visible" name="HoangDMHE191087" sheetId="5" r:id="rId8"/>
  </sheets>
  <definedNames>
    <definedName hidden="1" localSheetId="1" name="_xlnm._FilterDatabase">MetaFruit_Document!$A$1:$I$103</definedName>
    <definedName hidden="1" localSheetId="0" name="Z_0E6AC9B2_D9B1_4621_B1A3_A1BCC96848B3_.wvu.FilterData">MetaFruit!$A$1:$L$105</definedName>
  </definedNames>
  <calcPr/>
  <customWorkbookViews>
    <customWorkbookView activeSheetId="0" maximized="1" windowHeight="0" windowWidth="0" guid="{0E6AC9B2-D9B1-4621-B1A3-A1BCC96848B3}" name="Filter 1"/>
  </customWorkbookViews>
  <extLst>
    <ext uri="GoogleSheetsCustomDataVersion2">
      <go:sheetsCustomData xmlns:go="http://customooxmlschemas.google.com/" r:id="rId9" roundtripDataChecksum="BaNn2JOJ8jP5HlCVUH5rZssoDYxIU4eXtpnpN6U57tQ="/>
    </ext>
  </extLst>
</workbook>
</file>

<file path=xl/sharedStrings.xml><?xml version="1.0" encoding="utf-8"?>
<sst xmlns="http://schemas.openxmlformats.org/spreadsheetml/2006/main" count="984" uniqueCount="477">
  <si>
    <t>No.</t>
  </si>
  <si>
    <t>Feature</t>
  </si>
  <si>
    <t>Function</t>
  </si>
  <si>
    <t>Main actors</t>
  </si>
  <si>
    <t>Description</t>
  </si>
  <si>
    <t>In Charge</t>
  </si>
  <si>
    <t>RDS</t>
  </si>
  <si>
    <t>Status</t>
  </si>
  <si>
    <t>Deadline</t>
  </si>
  <si>
    <t>Level</t>
  </si>
  <si>
    <t>LOC</t>
  </si>
  <si>
    <t>Notes / Updates</t>
  </si>
  <si>
    <t>Authentication - Sign-up</t>
  </si>
  <si>
    <t>User Registration Local Form</t>
  </si>
  <si>
    <t>Guest</t>
  </si>
  <si>
    <t>Local sign-up form with input validation, BCrypt password hashing, and DB insertion.</t>
  </si>
  <si>
    <t>HoangDMHE191087</t>
  </si>
  <si>
    <t>I.1</t>
  </si>
  <si>
    <t>Done</t>
  </si>
  <si>
    <t>Google OAuth Sign-up</t>
  </si>
  <si>
    <t>Google OAuth sign-up with Callback URL handling and new user creation.</t>
  </si>
  <si>
    <t>I.2</t>
  </si>
  <si>
    <t>Role Selection</t>
  </si>
  <si>
    <t>Role selection during sign-up with pending status for Shop Owners.</t>
  </si>
  <si>
    <t>I.3</t>
  </si>
  <si>
    <t>Authentication - Login/Logout</t>
  </si>
  <si>
    <t>Local Login</t>
  </si>
  <si>
    <t>All</t>
  </si>
  <si>
    <t>Local login with email/phone, BCrypt verification, and session storage.</t>
  </si>
  <si>
    <t>I.4</t>
  </si>
  <si>
    <t>Google OAuth Sign-in</t>
  </si>
  <si>
    <t>Google OAuth login with automatic matching and session creation.</t>
  </si>
  <si>
    <t>I.5</t>
  </si>
  <si>
    <t>User Logout</t>
  </si>
  <si>
    <t>Customer, Shop Owner, Delivery , Admin</t>
  </si>
  <si>
    <t>Logout handling by clearing session data and redirecting to homepage.</t>
  </si>
  <si>
    <t>I.6</t>
  </si>
  <si>
    <t>Login Lockout</t>
  </si>
  <si>
    <t>Account lockout for 15 minutes after 5 consecutive failed login attempts.</t>
  </si>
  <si>
    <t>I.7</t>
  </si>
  <si>
    <t>User Profile Management</t>
  </si>
  <si>
    <t>View Profile</t>
  </si>
  <si>
    <t>Profile page displaying user details fetched from session and DB.</t>
  </si>
  <si>
    <t>I.8</t>
  </si>
  <si>
    <t>Edit Profile</t>
  </si>
  <si>
    <t>Profile editing form with data validation and database update.</t>
  </si>
  <si>
    <t>I.9</t>
  </si>
  <si>
    <t>Manage Addresses</t>
  </si>
  <si>
    <t>Customer</t>
  </si>
  <si>
    <t>Multiple shipping address management with default address toggle.</t>
  </si>
  <si>
    <t>I.10</t>
  </si>
  <si>
    <t>Security - Password</t>
  </si>
  <si>
    <t>Change Password</t>
  </si>
  <si>
    <t>Change password form with old password verification and BCrypt hashing.</t>
  </si>
  <si>
    <t>I.11</t>
  </si>
  <si>
    <t>Reset Password</t>
  </si>
  <si>
    <t>Reset password with send email otp verification and change password</t>
  </si>
  <si>
    <t>III.34</t>
  </si>
  <si>
    <t>Security - Access Control</t>
  </si>
  <si>
    <t>Role Management</t>
  </si>
  <si>
    <t>System</t>
  </si>
  <si>
    <t>Role-Based Access Control (RBAC) filter protecting admin/shop/customer paths.</t>
  </si>
  <si>
    <t>I.12</t>
  </si>
  <si>
    <t>Product Discovery</t>
  </si>
  <si>
    <t>View Product List</t>
  </si>
  <si>
    <t>Guest, Customer</t>
  </si>
  <si>
    <t>Paginated active product list displaying name, image, and price.</t>
  </si>
  <si>
    <t>I.13</t>
  </si>
  <si>
    <t>View Product Details (Static)</t>
  </si>
  <si>
    <t>Product details page displaying static info, origin, and expiry.</t>
  </si>
  <si>
    <t>I.14</t>
  </si>
  <si>
    <t>Browse by Category</t>
  </si>
  <si>
    <t>Product filtering by category using sidebar or dropdown.</t>
  </si>
  <si>
    <t>I.15</t>
  </si>
  <si>
    <t>Browse Featured Products</t>
  </si>
  <si>
    <t>Featured products section on homepage displaying top 8 items.</t>
  </si>
  <si>
    <t>I.16</t>
  </si>
  <si>
    <t>Search by Product Name</t>
  </si>
  <si>
    <t>Product search bar with name wildcard matching and injection prevention.</t>
  </si>
  <si>
    <t>I.17</t>
  </si>
  <si>
    <t>Admin User Management</t>
  </si>
  <si>
    <t>Manage Customers</t>
  </si>
  <si>
    <t>Admin</t>
  </si>
  <si>
    <t>Admin panel: Paginated customer list display and search.</t>
  </si>
  <si>
    <t>Duong</t>
  </si>
  <si>
    <t>I.18</t>
  </si>
  <si>
    <t>Manage Shop Owners</t>
  </si>
  <si>
    <t>Admin panel: Paginated shop owner list and approval tracking.</t>
  </si>
  <si>
    <t>I.19</t>
  </si>
  <si>
    <t>Block/Unblock Accounts</t>
  </si>
  <si>
    <t>Admin control: Block or unblock user accounts instantly.</t>
  </si>
  <si>
    <t>I.20</t>
  </si>
  <si>
    <t>Approve Shop Owner Accounts</t>
  </si>
  <si>
    <t>Admin control: Approve pending Shop Owner accounts to active status.</t>
  </si>
  <si>
    <t>I.21</t>
  </si>
  <si>
    <t>Product Catalog Management</t>
  </si>
  <si>
    <t>Add New Product</t>
  </si>
  <si>
    <t>Shop Owner</t>
  </si>
  <si>
    <t>Shop Owner: Add new product with image upload and DB insertion.</t>
  </si>
  <si>
    <t>Khang</t>
  </si>
  <si>
    <t>II.1</t>
  </si>
  <si>
    <t>Edit Product Info</t>
  </si>
  <si>
    <t>Shop Owner: Edit product information and update in database.</t>
  </si>
  <si>
    <t>II.2</t>
  </si>
  <si>
    <t>Delete Listing</t>
  </si>
  <si>
    <t>Shop Owner: Soft delete product by updating status to DELETED.</t>
  </si>
  <si>
    <t>II.3</t>
  </si>
  <si>
    <t>Hide Listing</t>
  </si>
  <si>
    <t>Shop Owner: Toggle product visibility (ACTIVE or INACTIVE).</t>
  </si>
  <si>
    <t>II.4</t>
  </si>
  <si>
    <t>Product Images CRUD</t>
  </si>
  <si>
    <t>Shop Owner: CRUD operations for uploading multiple product images.</t>
  </si>
  <si>
    <t>II.5</t>
  </si>
  <si>
    <t>Product Discovery (Advanced)</t>
  </si>
  <si>
    <t>View Product Details (Advanced)</t>
  </si>
  <si>
    <t>Dynamic product details page showing variants and slide show.</t>
  </si>
  <si>
    <t>II.6</t>
  </si>
  <si>
    <t>Product Customization</t>
  </si>
  <si>
    <t>Weight Variants</t>
  </si>
  <si>
    <t>Shop Owner: Manage weight variants with distinct price and stock.</t>
  </si>
  <si>
    <t>Hai</t>
  </si>
  <si>
    <t>II.7</t>
  </si>
  <si>
    <t>Packaging Options</t>
  </si>
  <si>
    <t>Customer: Select packaging options (gift box, foam) with dynamic pricing.</t>
  </si>
  <si>
    <t>II.8</t>
  </si>
  <si>
    <t>Organic/Imported Labels</t>
  </si>
  <si>
    <t>Display Organic or Imported labels on products dynamically.</t>
  </si>
  <si>
    <t>II.9</t>
  </si>
  <si>
    <t>Seasonal Availability</t>
  </si>
  <si>
    <t>Restrict product ordering to its configured seasonal availability.</t>
  </si>
  <si>
    <t>II.10</t>
  </si>
  <si>
    <t>Stock &amp; Inventory Control</t>
  </si>
  <si>
    <t>Stock Quantity Tracking</t>
  </si>
  <si>
    <t>System: Automatic stock deduction on purchase and return on cancellation.</t>
  </si>
  <si>
    <t>II.11</t>
  </si>
  <si>
    <t>Low Stock Alerts</t>
  </si>
  <si>
    <t>Shop Owner: Dashboard alerts for items with low stock quantity.</t>
  </si>
  <si>
    <t>II.12</t>
  </si>
  <si>
    <t>Restock Management</t>
  </si>
  <si>
    <t>Shop Owner: Log replenishment events and update inventory counts.</t>
  </si>
  <si>
    <t>II.13</t>
  </si>
  <si>
    <t>Pricing Strategy</t>
  </si>
  <si>
    <t>Base Pricing</t>
  </si>
  <si>
    <t>Shop Owner: Set base pricing for each product variant in VND.</t>
  </si>
  <si>
    <t>II.14</t>
  </si>
  <si>
    <t>Discount Pricing</t>
  </si>
  <si>
    <t>Shop Owner: Configure discount prices with slashed original prices.</t>
  </si>
  <si>
    <t>II.15</t>
  </si>
  <si>
    <t>Advanced Search &amp; Filters</t>
  </si>
  <si>
    <t>Filter Category</t>
  </si>
  <si>
    <t>Advanced product list filtering by selecting multiple categories.</t>
  </si>
  <si>
    <t>II.16</t>
  </si>
  <si>
    <t>Filter Price</t>
  </si>
  <si>
    <t>Advanced product list filtering using a price range slider.</t>
  </si>
  <si>
    <t>II.17</t>
  </si>
  <si>
    <t>Filter Rating</t>
  </si>
  <si>
    <t>Advanced product list filtering by minimum star rating.</t>
  </si>
  <si>
    <t>II.18</t>
  </si>
  <si>
    <t>Filter Availability</t>
  </si>
  <si>
    <t>Advanced product list filtering to only show in-stock products.</t>
  </si>
  <si>
    <t>II.19</t>
  </si>
  <si>
    <t>Sort Products</t>
  </si>
  <si>
    <t>Sort products by price, newest arrival, or top rating.</t>
  </si>
  <si>
    <t>II.20</t>
  </si>
  <si>
    <t>Smart Product Recommendations</t>
  </si>
  <si>
    <t>Recommended Fruits</t>
  </si>
  <si>
    <t>Recommend similar products from the same category on detail pages.</t>
  </si>
  <si>
    <t>II.21</t>
  </si>
  <si>
    <t>Best Sellers</t>
  </si>
  <si>
    <t>Homepage section displaying the top 5 best-selling products.</t>
  </si>
  <si>
    <t>II.22</t>
  </si>
  <si>
    <t>Recently Viewed</t>
  </si>
  <si>
    <t>Display products recently viewed by customer</t>
  </si>
  <si>
    <t>II.23</t>
  </si>
  <si>
    <t>Shopping Cart System</t>
  </si>
  <si>
    <t>Guest Cart LocalStorage</t>
  </si>
  <si>
    <t>Guest shopping cart system stored locally in browser LocalStorage.</t>
  </si>
  <si>
    <t>II.24</t>
  </si>
  <si>
    <t>Customer Cart DB</t>
  </si>
  <si>
    <t>Database-backed shopping cart system for registered customers.</t>
  </si>
  <si>
    <t>II.25</t>
  </si>
  <si>
    <t>Guest-Customer Cart Sync</t>
  </si>
  <si>
    <t>Synchronize guest LocalStorage cart with DB cart upon login.</t>
  </si>
  <si>
    <t>II.26</t>
  </si>
  <si>
    <t>Update Quantity</t>
  </si>
  <si>
    <t>Update cart item quantities with live stock checks and price recalculation.</t>
  </si>
  <si>
    <t>II.27</t>
  </si>
  <si>
    <t>Remove Product</t>
  </si>
  <si>
    <t>Remove individual items or clear all products from the cart.</t>
  </si>
  <si>
    <t>II.28</t>
  </si>
  <si>
    <t>Cart Summary</t>
  </si>
  <si>
    <t>Display cart totals including items, weight, and subtotal.</t>
  </si>
  <si>
    <t>II.29</t>
  </si>
  <si>
    <t>Wishlist System</t>
  </si>
  <si>
    <t>Add to Wishlist</t>
  </si>
  <si>
    <t>Customer: Add favorite products to personal wishlist.</t>
  </si>
  <si>
    <t>Quan</t>
  </si>
  <si>
    <t>II.30</t>
  </si>
  <si>
    <t>To Do</t>
  </si>
  <si>
    <t>Remove from Wishlist</t>
  </si>
  <si>
    <t>Customer: Remove items from wishlist.</t>
  </si>
  <si>
    <t>II.31</t>
  </si>
  <si>
    <t>Move Wishlist to Cart</t>
  </si>
  <si>
    <t>Customer: Move items from wishlist to shopping cart directly.</t>
  </si>
  <si>
    <t>II.32</t>
  </si>
  <si>
    <t>Checkout Process</t>
  </si>
  <si>
    <t>Select Delivery Address</t>
  </si>
  <si>
    <t>Customer: Select shipping address from profile list during checkout.</t>
  </si>
  <si>
    <t>II.33</t>
  </si>
  <si>
    <t>Order Confirmation</t>
  </si>
  <si>
    <t>Order confirmation page with order ID and payment instructions.</t>
  </si>
  <si>
    <t>II.34</t>
  </si>
  <si>
    <t>Order Placement</t>
  </si>
  <si>
    <t>Create Order</t>
  </si>
  <si>
    <t>Customer checkout: Transactional order and order items creation.</t>
  </si>
  <si>
    <t>II.35</t>
  </si>
  <si>
    <t>Reservate Inventory</t>
  </si>
  <si>
    <t>System: Hold stock during checkout and rollback if stock is insufficient.</t>
  </si>
  <si>
    <t>II.36</t>
  </si>
  <si>
    <t>Customer Order Tracking</t>
  </si>
  <si>
    <t>Reorder Previous Purchase</t>
  </si>
  <si>
    <t>Customer: Quick reordering of items from historical purchases.</t>
  </si>
  <si>
    <t>II.37</t>
  </si>
  <si>
    <t>Track Order Status</t>
  </si>
  <si>
    <t>Customer: Track live order delivery status using visual timeline.</t>
  </si>
  <si>
    <t>II.38</t>
  </si>
  <si>
    <t>Estimated Delivery Time</t>
  </si>
  <si>
    <t>Delivery, Customer, Shop Owner</t>
  </si>
  <si>
    <t>II.39</t>
  </si>
  <si>
    <t>Order Delivery Confirmation</t>
  </si>
  <si>
    <t>Customer: Confirm receipt of order to update status to DELIVERED.</t>
  </si>
  <si>
    <t>II.40</t>
  </si>
  <si>
    <t>Delivery Staff Flow</t>
  </si>
  <si>
    <t>View Orders for Delivery</t>
  </si>
  <si>
    <t>Delivery</t>
  </si>
  <si>
    <t>Delivery Staff: Dashboard with pending delivery jobs and location filters.</t>
  </si>
  <si>
    <t>II.41</t>
  </si>
  <si>
    <t>Update Shipping Status</t>
  </si>
  <si>
    <t>Delivery Staff: Update delivery status to Shipped, Delivered, or Failed.</t>
  </si>
  <si>
    <t>II.42</t>
  </si>
  <si>
    <t>Shop/Admin: Order success and cancellation statistics charts.</t>
  </si>
  <si>
    <t>Approve Order Shop Owner</t>
  </si>
  <si>
    <t>Shop Owner: Approve orders and trigger packing process.</t>
  </si>
  <si>
    <t>II.43</t>
  </si>
  <si>
    <t>Reject Order Shop Owner</t>
  </si>
  <si>
    <t>Shop Owner: Cancel orders with a mandatory reason and restock items.</t>
  </si>
  <si>
    <t>II.44</t>
  </si>
  <si>
    <t>Mark Order as Delivered</t>
  </si>
  <si>
    <t>Shop Owner, Delivery</t>
  </si>
  <si>
    <t>Shop Owner/Delivery: Manually mark orders as delivered to close sale.</t>
  </si>
  <si>
    <t>II.45</t>
  </si>
  <si>
    <t>Content Moderation &amp; Categories</t>
  </si>
  <si>
    <t>Approve Products</t>
  </si>
  <si>
    <t>Admin: Review and approve new product listings to active status.</t>
  </si>
  <si>
    <t>II.46</t>
  </si>
  <si>
    <t>Remove Inappropriate Products</t>
  </si>
  <si>
    <t>Admin: Block or hide violating product listings from the public.</t>
  </si>
  <si>
    <t>II.47</t>
  </si>
  <si>
    <t>Manage Categories CRUD</t>
  </si>
  <si>
    <t>Admin: CRUD operations for managing product categories.</t>
  </si>
  <si>
    <t>II.48</t>
  </si>
  <si>
    <t>Online Payment Integration</t>
  </si>
  <si>
    <t>Cash on Delivery COD</t>
  </si>
  <si>
    <t>Customer checkout: Support Cash on Delivery (COD) payment option.</t>
  </si>
  <si>
    <t>III.1</t>
  </si>
  <si>
    <t>E-wallet VietQR Dynamic QR</t>
  </si>
  <si>
    <t>Customer checkout: Dynamic VietQR code generation for instant payments.</t>
  </si>
  <si>
    <t>III.2</t>
  </si>
  <si>
    <t>Process Payment</t>
  </si>
  <si>
    <t>System: Handle incoming payment webhook requests with signature validation.</t>
  </si>
  <si>
    <t>III.3</t>
  </si>
  <si>
    <t>Payment Confirmation SePay Webhook</t>
  </si>
  <si>
    <t>System: SePay webhook receiver to auto-approve orders on payment.</t>
  </si>
  <si>
    <t>III.4</t>
  </si>
  <si>
    <t>Real-time Status Polling</t>
  </si>
  <si>
    <t>Customer checkout: Real-time API polling for payment success.</t>
  </si>
  <si>
    <t>III.5</t>
  </si>
  <si>
    <t>Payment Refund Logic</t>
  </si>
  <si>
    <t>Admin control: Process refunds for cancelled or returned orders.</t>
  </si>
  <si>
    <t>III.6</t>
  </si>
  <si>
    <t>Discount Promotion Engine</t>
  </si>
  <si>
    <t>Apply Coupon Promotion</t>
  </si>
  <si>
    <t>Customer checkout: Apply coupon discount codes for price deduction.</t>
  </si>
  <si>
    <t>III.7</t>
  </si>
  <si>
    <t>Invoice &amp; Billing</t>
  </si>
  <si>
    <t>Generate Digital Invoice</t>
  </si>
  <si>
    <t>System: Auto-generate digital invoice after successful payment.</t>
  </si>
  <si>
    <t>III.8</t>
  </si>
  <si>
    <t>Order Returns &amp; Refund Requests</t>
  </si>
  <si>
    <t>Create Return/Exchange Request</t>
  </si>
  <si>
    <t>Customer: Submit return/exchange requests with photo evidence.</t>
  </si>
  <si>
    <t>III.10</t>
  </si>
  <si>
    <t>Customer Order History</t>
  </si>
  <si>
    <t>View Order History Detail</t>
  </si>
  <si>
    <t>Customer: View order history details, timeline, and invoice.</t>
  </si>
  <si>
    <t>III.11</t>
  </si>
  <si>
    <t>Marketing Campaigns</t>
  </si>
  <si>
    <t>Discount Coupons Creation</t>
  </si>
  <si>
    <t>Shop Owner, Admin</t>
  </si>
  <si>
    <t>Shop Owner: Create and manage promotional discount coupons.</t>
  </si>
  <si>
    <t>III.12</t>
  </si>
  <si>
    <t>Seasonal Campaigns</t>
  </si>
  <si>
    <t>Shop Owner: Create automated seasonal discount campaigns.</t>
  </si>
  <si>
    <t>III.13</t>
  </si>
  <si>
    <t>Flash Sales Configuration</t>
  </si>
  <si>
    <t>Shop Owner: Create timed Flash Sale events with limited stock.</t>
  </si>
  <si>
    <t>III.14</t>
  </si>
  <si>
    <t>Product Review &amp; Rating System</t>
  </si>
  <si>
    <t>Write Product Review</t>
  </si>
  <si>
    <t>Customer: Submit product reviews with ratings and image attachments.</t>
  </si>
  <si>
    <t>III.15</t>
  </si>
  <si>
    <t>Edit / Delete Product Review</t>
  </si>
  <si>
    <t>Customer: Edit or delete personal product reviews and recalculate average.</t>
  </si>
  <si>
    <t>III.16</t>
  </si>
  <si>
    <t>Rate Products Stars</t>
  </si>
  <si>
    <t>Customer: Interactive star-rating widget (1-5 stars) for reviews.</t>
  </si>
  <si>
    <t>III.17</t>
  </si>
  <si>
    <t>Average Rating Calculation</t>
  </si>
  <si>
    <t>System: Automatically update average rating for products.</t>
  </si>
  <si>
    <t>III.18</t>
  </si>
  <si>
    <t>Approve/Reject Reviews</t>
  </si>
  <si>
    <t>Admin: Review moderation panel to approve or block user reviews.</t>
  </si>
  <si>
    <t>III.19</t>
  </si>
  <si>
    <t>Notification &amp; Alert Center</t>
  </si>
  <si>
    <t>System: Send email and in-app notifications upon order creation.</t>
  </si>
  <si>
    <t>III.20</t>
  </si>
  <si>
    <t>Payment Notification</t>
  </si>
  <si>
    <t>System: Send automated payment receipt notifications to customers.</t>
  </si>
  <si>
    <t>III.21</t>
  </si>
  <si>
    <t>Delivery Status Updates</t>
  </si>
  <si>
    <t>System: Notify customers of shipping updates (Shipped/Delivered).</t>
  </si>
  <si>
    <t>III.22</t>
  </si>
  <si>
    <t>Promotion Notifications</t>
  </si>
  <si>
    <t>Admin: Send promotional notifications to all customers in background.</t>
  </si>
  <si>
    <t>III.23</t>
  </si>
  <si>
    <t>Low Stock Warning</t>
  </si>
  <si>
    <t>System: Warn Shop Owners when variant inventory falls below 5 items.</t>
  </si>
  <si>
    <t>III.24</t>
  </si>
  <si>
    <t>New Order Alert</t>
  </si>
  <si>
    <t>System: Instant notification to Shop Owners on new order placement.</t>
  </si>
  <si>
    <t>III.25</t>
  </si>
  <si>
    <t>Email Notifications</t>
  </si>
  <si>
    <t>System: General email sender service utilizing JavaMail API.</t>
  </si>
  <si>
    <t>III.26</t>
  </si>
  <si>
    <t>In-App Notifications bell</t>
  </si>
  <si>
    <t>Customer: Real-time notification badge and dropdown on header.</t>
  </si>
  <si>
    <t>III.27</t>
  </si>
  <si>
    <t>Global Admin Monitoring</t>
  </si>
  <si>
    <t>Monitor Orders Global</t>
  </si>
  <si>
    <t>Admin panel: Global order monitoring dashboard with multi-filters.</t>
  </si>
  <si>
    <t>III.28</t>
  </si>
  <si>
    <t>Monitor Payments Global</t>
  </si>
  <si>
    <t>Admin panel: Monitor all transaction logs and VietQR bank transfers.</t>
  </si>
  <si>
    <t>III.29</t>
  </si>
  <si>
    <t>Handle Refund Requests</t>
  </si>
  <si>
    <t>Admin panel: Review and approve customer refund requests.</t>
  </si>
  <si>
    <t>III.30</t>
  </si>
  <si>
    <t>Analytics &amp; Reporting</t>
  </si>
  <si>
    <t>Revenue Report Chart.js</t>
  </si>
  <si>
    <t>Shop/Admin: Revenue visualization charts powered by Chart.js.</t>
  </si>
  <si>
    <t>III.31</t>
  </si>
  <si>
    <t>Sales/Fruit Usage Report</t>
  </si>
  <si>
    <t>Shop/Admin: Advanced sales and fruit usage reports generation.</t>
  </si>
  <si>
    <t>III.32</t>
  </si>
  <si>
    <t>Order Statistics</t>
  </si>
  <si>
    <t>III.33</t>
  </si>
  <si>
    <t>Shop Settlement Batch Job</t>
  </si>
  <si>
    <t>System: Daily background job for auto-settlement of completed orders.</t>
  </si>
  <si>
    <t>Decriptions</t>
  </si>
  <si>
    <t>SRS</t>
  </si>
  <si>
    <t>Context Diagram</t>
  </si>
  <si>
    <t>Overall context</t>
  </si>
  <si>
    <t>Context diagram</t>
  </si>
  <si>
    <t>Main Business Processes</t>
  </si>
  <si>
    <t>Order Processing</t>
  </si>
  <si>
    <t>Shop owner onboarding</t>
  </si>
  <si>
    <t>Manage Inventotry</t>
  </si>
  <si>
    <t>User Requirements</t>
  </si>
  <si>
    <t>Actors</t>
  </si>
  <si>
    <t>Core Usecase List</t>
  </si>
  <si>
    <t>Hoang</t>
  </si>
  <si>
    <t>Usecase Diagram</t>
  </si>
  <si>
    <t>System Functionalities</t>
  </si>
  <si>
    <t>Non-UI Functions</t>
  </si>
  <si>
    <t>Screen Authorization</t>
  </si>
  <si>
    <t>Entity Relationship Diagram</t>
  </si>
  <si>
    <t>Designing ERD and Creating Detailed Database Specifications</t>
  </si>
  <si>
    <t>Use Case Specifications</t>
  </si>
  <si>
    <t>Use case 1-8</t>
  </si>
  <si>
    <t>Use case 9-14,31-40</t>
  </si>
  <si>
    <t>Use case 15-30</t>
  </si>
  <si>
    <t>Use case 40-50</t>
  </si>
  <si>
    <t>Functional Requirements</t>
  </si>
  <si>
    <t>Screen Mockups and Functional Requirements for Each Component</t>
  </si>
  <si>
    <t>Non-Functional Requirements</t>
  </si>
  <si>
    <t>External Interfaces</t>
  </si>
  <si>
    <t>Quality Attributes</t>
  </si>
  <si>
    <t>Requirement Appendix</t>
  </si>
  <si>
    <t>Bussiness Rules</t>
  </si>
  <si>
    <t>System messages</t>
  </si>
  <si>
    <t>Other messages</t>
  </si>
  <si>
    <t>SDS</t>
  </si>
  <si>
    <t>Software Architecture</t>
  </si>
  <si>
    <t>Package Diagram</t>
  </si>
  <si>
    <t>Database Design</t>
  </si>
  <si>
    <t>Database Table Matrix</t>
  </si>
  <si>
    <t>State Transition Diagrams</t>
  </si>
  <si>
    <t>Detailed Design</t>
  </si>
  <si>
    <t>Iteration 1</t>
  </si>
  <si>
    <t>Iteration 2</t>
  </si>
  <si>
    <t>Iteration 3</t>
  </si>
  <si>
    <t>View Product Details</t>
  </si>
  <si>
    <t xml:space="preserve">Create Order </t>
  </si>
  <si>
    <t>Item</t>
  </si>
  <si>
    <t>Failed</t>
  </si>
  <si>
    <t>Normal Cases</t>
  </si>
  <si>
    <t>Best Case</t>
  </si>
  <si>
    <t>Notes</t>
  </si>
  <si>
    <t>No of screens/functions</t>
  </si>
  <si>
    <t>Tổng số screens/functions hoàn thiện đủ happy cases</t>
  </si>
  <si>
    <t xml:space="preserve">Maximum LOC (C) </t>
  </si>
  <si>
    <t>Số LOC quy đổi (L2-3-4 = 33%, 33%, 33%)</t>
  </si>
  <si>
    <t>Quality Level (Q)</t>
  </si>
  <si>
    <t>Chất lượng màn hình/chức năng**</t>
  </si>
  <si>
    <t>Evaluated LOC</t>
  </si>
  <si>
    <t>Số LOC đạt được (LOC = C*Q)</t>
  </si>
  <si>
    <t>LOC Grade (LG)</t>
  </si>
  <si>
    <t>Tỷ trọng điểm LOC</t>
  </si>
  <si>
    <t>Non-LOC Grade (Pkg)</t>
  </si>
  <si>
    <t>Tỷ trọng điểm quy trình, material liên quan..</t>
  </si>
  <si>
    <t>ĐIỂM ĐÁNH GIÁ (/10)</t>
  </si>
  <si>
    <t>Converted LOC (for each of the complexity levels)</t>
  </si>
  <si>
    <t>Complexity Level</t>
  </si>
  <si>
    <t>Level 1</t>
  </si>
  <si>
    <t>Level 2</t>
  </si>
  <si>
    <t>Level 3</t>
  </si>
  <si>
    <t>Level 4</t>
  </si>
  <si>
    <t>Level 5</t>
  </si>
  <si>
    <t>Level 6</t>
  </si>
  <si>
    <t>Level 7</t>
  </si>
  <si>
    <t>Fields</t>
  </si>
  <si>
    <t>Trans*</t>
  </si>
  <si>
    <t>Converted LOC</t>
  </si>
  <si>
    <t>3-5</t>
  </si>
  <si>
    <t>6-7</t>
  </si>
  <si>
    <t>Screen/Function Complexity Levels</t>
  </si>
  <si>
    <t>8-9</t>
  </si>
  <si>
    <t>Screen complexity can be defined based on the screen's fields OR screen/function's transactions</t>
  </si>
  <si>
    <t>10-11</t>
  </si>
  <si>
    <t>- Transactions can be counted as number of transactions to the database or external systems/subsystems</t>
  </si>
  <si>
    <t>12-13</t>
  </si>
  <si>
    <t>- Fields are screen's actionable components or database table fields; if there are some transactions those are</t>
  </si>
  <si>
    <t>14-15</t>
  </si>
  <si>
    <t xml:space="preserve">  not "related" to any fields, each of those transactions are counted as two fields and add those extra number </t>
  </si>
  <si>
    <t>&gt;15</t>
  </si>
  <si>
    <t>&gt;7</t>
  </si>
  <si>
    <t xml:space="preserve">  to the total number of fields to define the screen/function complexity</t>
  </si>
  <si>
    <t>*One trans (transactions) = Two fields (actionable screen components)</t>
  </si>
  <si>
    <t>No of transactions 
(to database, external,..)</t>
  </si>
  <si>
    <t>One transaction can be converted as two actionable fields</t>
  </si>
  <si>
    <t>OR: no of fields</t>
  </si>
  <si>
    <t>Screen/Function Quality Levels &amp; LOC Evaluation Rate</t>
  </si>
  <si>
    <t>Rate</t>
  </si>
  <si>
    <t>L1_Happy Cases</t>
  </si>
  <si>
    <t>The screen/function is workable, all happy cases are included</t>
  </si>
  <si>
    <t>L2_All Cases</t>
  </si>
  <si>
    <t>The screen/function is workable with both happy and unhappy cases included</t>
  </si>
  <si>
    <t>L3_Optimized</t>
  </si>
  <si>
    <t>All happy &amp; unhappy cases included + the function/screen is optimized in term of UX and
and business logics (suitability to real-world use cases)</t>
  </si>
  <si>
    <t>Some samples of screen complexity defining are as following</t>
  </si>
  <si>
    <t>Sample #1</t>
  </si>
  <si>
    <t>Sample #2</t>
  </si>
  <si>
    <t>Sample #3</t>
  </si>
  <si>
    <t>ITER1</t>
  </si>
  <si>
    <t xml:space="preserve"> </t>
  </si>
  <si>
    <t>ITER2</t>
  </si>
  <si>
    <t>ITER3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</si>
</sst>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* #,##0.0_-;\-* #,##0.0_-;_-* &quot;-&quot;??_-;_-@"/>
    <numFmt numFmtId="166" formatCode="_-* #,##0.00_-;\-* #,##0.00_-;_-* &quot;-&quot;??_-;_-@"/>
  </numFmts>
  <fonts count="24">
    <font>
      <sz val="10.0"/>
      <color rgb="FF000000"/>
      <name val="Arial"/>
      <scheme val="minor"/>
    </font>
    <font>
      <b/>
      <sz val="12.0"/>
      <color rgb="FF1F2328"/>
      <name val="-apple-system"/>
    </font>
    <font>
      <b/>
      <sz val="12.0"/>
      <color rgb="FF1F2328"/>
      <name val="Arial"/>
    </font>
    <font>
      <sz val="13.0"/>
      <color theme="1"/>
      <name val="Times New Roman"/>
    </font>
    <font>
      <sz val="11.0"/>
      <color theme="1"/>
      <name val="Calibri"/>
    </font>
    <font>
      <sz val="12.0"/>
      <color rgb="FF1F2328"/>
      <name val="-apple-system"/>
    </font>
    <font>
      <sz val="12.0"/>
      <color rgb="FF1F2328"/>
      <name val="Arial"/>
    </font>
    <font>
      <sz val="13.0"/>
      <color rgb="FF1F2328"/>
      <name val="Times New Roman"/>
    </font>
    <font/>
    <font>
      <sz val="11.0"/>
      <color theme="1"/>
      <name val="Times New Roman"/>
    </font>
    <font>
      <sz val="10.0"/>
      <color rgb="FF000000"/>
      <name val="Arial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Calibri"/>
    </font>
    <font>
      <sz val="13.0"/>
      <color rgb="FF000000"/>
      <name val="Times New Roman"/>
    </font>
    <font>
      <b/>
      <sz val="13.0"/>
      <color rgb="FF000000"/>
      <name val="Times New Roman"/>
    </font>
    <font>
      <sz val="13.0"/>
      <color rgb="FF1F1F1F"/>
      <name val="Times New Roman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i/>
      <sz val="11.0"/>
      <color theme="1"/>
      <name val="Arial"/>
    </font>
    <font>
      <i/>
      <sz val="11.0"/>
      <color theme="1"/>
      <name val="Arial"/>
    </font>
    <font>
      <b/>
      <sz val="24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</border>
    <border>
      <left/>
      <right/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2" fontId="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shrinkToFit="0" wrapText="0"/>
    </xf>
    <xf borderId="0" fillId="0" fontId="3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0"/>
    </xf>
    <xf borderId="1" fillId="0" fontId="5" numFmtId="0" xfId="0" applyAlignment="1" applyBorder="1" applyFont="1">
      <alignment horizontal="left" shrinkToFit="0" wrapText="0"/>
    </xf>
    <xf borderId="2" fillId="0" fontId="5" numFmtId="0" xfId="0" applyAlignment="1" applyBorder="1" applyFont="1">
      <alignment horizontal="left" shrinkToFit="0" wrapText="0"/>
    </xf>
    <xf borderId="2" fillId="0" fontId="6" numFmtId="0" xfId="0" applyAlignment="1" applyBorder="1" applyFont="1">
      <alignment horizontal="left" shrinkToFit="0" wrapText="0"/>
    </xf>
    <xf borderId="3" fillId="3" fontId="5" numFmtId="0" xfId="0" applyAlignment="1" applyBorder="1" applyFill="1" applyFont="1">
      <alignment vertical="bottom"/>
    </xf>
    <xf borderId="2" fillId="0" fontId="6" numFmtId="164" xfId="0" applyAlignment="1" applyBorder="1" applyFont="1" applyNumberFormat="1">
      <alignment horizontal="left" shrinkToFit="0" wrapText="0"/>
    </xf>
    <xf borderId="0" fillId="4" fontId="7" numFmtId="0" xfId="0" applyAlignment="1" applyFill="1" applyFont="1">
      <alignment horizontal="left" shrinkToFit="0" wrapText="0"/>
    </xf>
    <xf borderId="4" fillId="0" fontId="8" numFmtId="0" xfId="0" applyBorder="1" applyFont="1"/>
    <xf borderId="3" fillId="4" fontId="5" numFmtId="0" xfId="0" applyAlignment="1" applyBorder="1" applyFont="1">
      <alignment vertical="bottom"/>
    </xf>
    <xf borderId="0" fillId="3" fontId="7" numFmtId="0" xfId="0" applyAlignment="1" applyFont="1">
      <alignment horizontal="left" shrinkToFit="0" wrapText="0"/>
    </xf>
    <xf borderId="5" fillId="0" fontId="8" numFmtId="0" xfId="0" applyBorder="1" applyFont="1"/>
    <xf borderId="1" fillId="0" fontId="6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vertical="bottom"/>
    </xf>
    <xf borderId="2" fillId="0" fontId="6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vertical="bottom"/>
    </xf>
    <xf borderId="3" fillId="4" fontId="6" numFmtId="0" xfId="0" applyAlignment="1" applyBorder="1" applyFont="1">
      <alignment readingOrder="0" vertical="bottom"/>
    </xf>
    <xf borderId="2" fillId="0" fontId="6" numFmtId="164" xfId="0" applyAlignment="1" applyBorder="1" applyFont="1" applyNumberFormat="1">
      <alignment horizontal="left" readingOrder="0" shrinkToFit="0" wrapText="0"/>
    </xf>
    <xf borderId="3" fillId="4" fontId="5" numFmtId="0" xfId="0" applyAlignment="1" applyBorder="1" applyFont="1">
      <alignment vertical="bottom"/>
    </xf>
    <xf borderId="1" fillId="0" fontId="6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vertical="bottom"/>
    </xf>
    <xf borderId="0" fillId="0" fontId="9" numFmtId="0" xfId="0" applyAlignment="1" applyFont="1">
      <alignment shrinkToFit="0" vertical="top" wrapText="0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shrinkToFit="0" vertical="top" wrapText="0"/>
    </xf>
    <xf borderId="2" fillId="2" fontId="11" numFmtId="0" xfId="0" applyAlignment="1" applyBorder="1" applyFont="1">
      <alignment horizontal="left" readingOrder="0" shrinkToFit="0" wrapText="0"/>
    </xf>
    <xf borderId="2" fillId="2" fontId="11" numFmtId="0" xfId="0" applyAlignment="1" applyBorder="1" applyFont="1">
      <alignment horizontal="left" shrinkToFit="0" wrapText="0"/>
    </xf>
    <xf borderId="6" fillId="0" fontId="12" numFmtId="0" xfId="0" applyAlignment="1" applyBorder="1" applyFont="1">
      <alignment horizontal="center" readingOrder="0" shrinkToFit="0" wrapText="0"/>
    </xf>
    <xf borderId="7" fillId="0" fontId="8" numFmtId="0" xfId="0" applyBorder="1" applyFont="1"/>
    <xf borderId="8" fillId="0" fontId="8" numFmtId="0" xfId="0" applyBorder="1" applyFont="1"/>
    <xf borderId="1" fillId="0" fontId="12" numFmtId="0" xfId="0" applyAlignment="1" applyBorder="1" applyFont="1">
      <alignment horizontal="left" shrinkToFit="0" wrapText="0"/>
    </xf>
    <xf borderId="1" fillId="0" fontId="12" numFmtId="0" xfId="0" applyAlignment="1" applyBorder="1" applyFont="1">
      <alignment horizontal="left" readingOrder="0" shrinkToFit="0" wrapText="0"/>
    </xf>
    <xf borderId="2" fillId="0" fontId="12" numFmtId="0" xfId="0" applyAlignment="1" applyBorder="1" applyFont="1">
      <alignment horizontal="left" readingOrder="0" shrinkToFit="0" wrapText="0"/>
    </xf>
    <xf borderId="2" fillId="0" fontId="12" numFmtId="0" xfId="0" applyAlignment="1" applyBorder="1" applyFont="1">
      <alignment horizontal="left" shrinkToFit="0" wrapText="0"/>
    </xf>
    <xf borderId="2" fillId="0" fontId="12" numFmtId="164" xfId="0" applyAlignment="1" applyBorder="1" applyFont="1" applyNumberFormat="1">
      <alignment horizontal="left" shrinkToFit="0" wrapText="0"/>
    </xf>
    <xf borderId="2" fillId="0" fontId="13" numFmtId="0" xfId="0" applyAlignment="1" applyBorder="1" applyFont="1">
      <alignment shrinkToFit="0" vertical="top" wrapText="0"/>
    </xf>
    <xf borderId="0" fillId="0" fontId="6" numFmtId="0" xfId="0" applyAlignment="1" applyFont="1">
      <alignment horizontal="left" shrinkToFit="0" wrapText="0"/>
    </xf>
    <xf borderId="9" fillId="0" fontId="6" numFmtId="0" xfId="0" applyAlignment="1" applyBorder="1" applyFont="1">
      <alignment horizontal="left" shrinkToFit="0" wrapText="0"/>
    </xf>
    <xf borderId="10" fillId="0" fontId="6" numFmtId="0" xfId="0" applyAlignment="1" applyBorder="1" applyFont="1">
      <alignment horizontal="left" shrinkToFit="0" wrapText="0"/>
    </xf>
    <xf borderId="10" fillId="0" fontId="5" numFmtId="0" xfId="0" applyAlignment="1" applyBorder="1" applyFont="1">
      <alignment horizontal="left" shrinkToFit="0" wrapText="0"/>
    </xf>
    <xf borderId="11" fillId="0" fontId="6" numFmtId="0" xfId="0" applyAlignment="1" applyBorder="1" applyFont="1">
      <alignment horizontal="left" shrinkToFit="0" wrapText="0"/>
    </xf>
    <xf borderId="11" fillId="0" fontId="5" numFmtId="0" xfId="0" applyAlignment="1" applyBorder="1" applyFont="1">
      <alignment horizontal="left" shrinkToFit="0" wrapText="0"/>
    </xf>
    <xf borderId="12" fillId="0" fontId="6" numFmtId="0" xfId="0" applyAlignment="1" applyBorder="1" applyFont="1">
      <alignment horizontal="left" shrinkToFit="0" wrapText="0"/>
    </xf>
    <xf borderId="13" fillId="0" fontId="6" numFmtId="0" xfId="0" applyAlignment="1" applyBorder="1" applyFont="1">
      <alignment horizontal="left" shrinkToFit="0" wrapText="0"/>
    </xf>
    <xf borderId="0" fillId="0" fontId="14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2" fillId="2" fontId="15" numFmtId="0" xfId="0" applyAlignment="1" applyBorder="1" applyFont="1">
      <alignment horizontal="center" vertical="top"/>
    </xf>
    <xf borderId="2" fillId="2" fontId="15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top" wrapText="1"/>
    </xf>
    <xf borderId="0" fillId="0" fontId="17" numFmtId="0" xfId="0" applyFont="1"/>
    <xf borderId="0" fillId="0" fontId="18" numFmtId="0" xfId="0" applyFont="1"/>
    <xf borderId="14" fillId="5" fontId="19" numFmtId="0" xfId="0" applyBorder="1" applyFill="1" applyFont="1"/>
    <xf borderId="15" fillId="5" fontId="19" numFmtId="0" xfId="0" applyBorder="1" applyFont="1"/>
    <xf borderId="16" fillId="5" fontId="19" numFmtId="0" xfId="0" applyAlignment="1" applyBorder="1" applyFont="1">
      <alignment horizontal="center"/>
    </xf>
    <xf borderId="17" fillId="0" fontId="8" numFmtId="0" xfId="0" applyBorder="1" applyFont="1"/>
    <xf borderId="18" fillId="0" fontId="8" numFmtId="0" xfId="0" applyBorder="1" applyFont="1"/>
    <xf borderId="16" fillId="5" fontId="19" numFmtId="0" xfId="0" applyAlignment="1" applyBorder="1" applyFont="1">
      <alignment horizontal="left"/>
    </xf>
    <xf borderId="19" fillId="0" fontId="8" numFmtId="0" xfId="0" applyBorder="1" applyFont="1"/>
    <xf borderId="20" fillId="6" fontId="18" numFmtId="0" xfId="0" applyBorder="1" applyFill="1" applyFont="1"/>
    <xf borderId="2" fillId="0" fontId="18" numFmtId="0" xfId="0" applyBorder="1" applyFont="1"/>
    <xf borderId="6" fillId="0" fontId="18" numFmtId="0" xfId="0" applyAlignment="1" applyBorder="1" applyFont="1">
      <alignment horizontal="left"/>
    </xf>
    <xf borderId="21" fillId="0" fontId="8" numFmtId="0" xfId="0" applyBorder="1" applyFont="1"/>
    <xf borderId="2" fillId="6" fontId="18" numFmtId="0" xfId="0" applyBorder="1" applyFont="1"/>
    <xf borderId="2" fillId="0" fontId="18" numFmtId="9" xfId="0" applyBorder="1" applyFont="1" applyNumberFormat="1"/>
    <xf borderId="2" fillId="6" fontId="10" numFmtId="165" xfId="0" applyBorder="1" applyFont="1" applyNumberFormat="1"/>
    <xf borderId="2" fillId="0" fontId="18" numFmtId="9" xfId="0" applyAlignment="1" applyBorder="1" applyFont="1" applyNumberFormat="1">
      <alignment horizontal="center"/>
    </xf>
    <xf borderId="6" fillId="0" fontId="10" numFmtId="165" xfId="0" applyAlignment="1" applyBorder="1" applyFont="1" applyNumberFormat="1">
      <alignment horizontal="left"/>
    </xf>
    <xf borderId="22" fillId="6" fontId="18" numFmtId="0" xfId="0" applyBorder="1" applyFont="1"/>
    <xf borderId="23" fillId="6" fontId="18" numFmtId="0" xfId="0" applyBorder="1" applyFont="1"/>
    <xf borderId="23" fillId="0" fontId="18" numFmtId="9" xfId="0" applyAlignment="1" applyBorder="1" applyFont="1" applyNumberFormat="1">
      <alignment horizontal="center"/>
    </xf>
    <xf borderId="24" fillId="0" fontId="18" numFmtId="0" xfId="0" applyAlignment="1" applyBorder="1" applyFont="1">
      <alignment horizontal="left"/>
    </xf>
    <xf borderId="25" fillId="0" fontId="8" numFmtId="0" xfId="0" applyBorder="1" applyFont="1"/>
    <xf borderId="26" fillId="0" fontId="8" numFmtId="0" xfId="0" applyBorder="1" applyFont="1"/>
    <xf borderId="0" fillId="0" fontId="19" numFmtId="0" xfId="0" applyAlignment="1" applyFont="1">
      <alignment horizontal="right"/>
    </xf>
    <xf borderId="0" fillId="0" fontId="19" numFmtId="165" xfId="0" applyFont="1" applyNumberFormat="1"/>
    <xf borderId="0" fillId="0" fontId="19" numFmtId="0" xfId="0" applyFont="1"/>
    <xf borderId="0" fillId="0" fontId="18" numFmtId="166" xfId="0" applyFont="1" applyNumberFormat="1"/>
    <xf borderId="0" fillId="0" fontId="20" numFmtId="0" xfId="0" applyAlignment="1" applyFont="1">
      <alignment horizontal="left"/>
    </xf>
    <xf borderId="2" fillId="5" fontId="21" numFmtId="0" xfId="0" applyAlignment="1" applyBorder="1" applyFont="1">
      <alignment horizontal="right"/>
    </xf>
    <xf borderId="2" fillId="5" fontId="21" numFmtId="0" xfId="0" applyBorder="1" applyFont="1"/>
    <xf borderId="2" fillId="5" fontId="21" numFmtId="0" xfId="0" applyAlignment="1" applyBorder="1" applyFont="1">
      <alignment horizontal="center" shrinkToFit="0" vertical="center" wrapText="1"/>
    </xf>
    <xf borderId="2" fillId="5" fontId="21" numFmtId="0" xfId="0" applyAlignment="1" applyBorder="1" applyFont="1">
      <alignment horizontal="left" shrinkToFit="0" vertical="center" wrapText="1"/>
    </xf>
    <xf borderId="6" fillId="5" fontId="21" numFmtId="0" xfId="0" applyAlignment="1" applyBorder="1" applyFont="1">
      <alignment horizontal="left" shrinkToFit="0" vertical="top" wrapText="1"/>
    </xf>
    <xf borderId="2" fillId="6" fontId="18" numFmtId="0" xfId="0" applyAlignment="1" applyBorder="1" applyFont="1">
      <alignment horizontal="right"/>
    </xf>
    <xf borderId="2" fillId="6" fontId="18" numFmtId="0" xfId="0" applyAlignment="1" applyBorder="1" applyFont="1">
      <alignment horizontal="center"/>
    </xf>
    <xf borderId="2" fillId="7" fontId="18" numFmtId="0" xfId="0" applyAlignment="1" applyBorder="1" applyFill="1" applyFont="1">
      <alignment horizontal="center"/>
    </xf>
    <xf borderId="2" fillId="0" fontId="18" numFmtId="0" xfId="0" applyAlignment="1" applyBorder="1" applyFont="1">
      <alignment horizontal="center"/>
    </xf>
    <xf borderId="2" fillId="0" fontId="18" numFmtId="0" xfId="0" applyAlignment="1" applyBorder="1" applyFont="1">
      <alignment vertical="top"/>
    </xf>
    <xf quotePrefix="1" borderId="2" fillId="0" fontId="18" numFmtId="0" xfId="0" applyAlignment="1" applyBorder="1" applyFont="1">
      <alignment horizontal="center" vertical="top"/>
    </xf>
    <xf borderId="2" fillId="0" fontId="18" numFmtId="0" xfId="0" applyAlignment="1" applyBorder="1" applyFont="1">
      <alignment horizontal="center" vertical="top"/>
    </xf>
    <xf borderId="6" fillId="0" fontId="18" numFmtId="0" xfId="0" applyAlignment="1" applyBorder="1" applyFont="1">
      <alignment horizontal="left" vertical="top"/>
    </xf>
    <xf borderId="0" fillId="0" fontId="18" numFmtId="0" xfId="0" applyAlignment="1" applyFont="1">
      <alignment horizontal="left"/>
    </xf>
    <xf quotePrefix="1" borderId="0" fillId="0" fontId="18" numFmtId="0" xfId="0" applyAlignment="1" applyFont="1">
      <alignment horizontal="left"/>
    </xf>
    <xf borderId="2" fillId="5" fontId="19" numFmtId="0" xfId="0" applyAlignment="1" applyBorder="1" applyFont="1">
      <alignment horizontal="right"/>
    </xf>
    <xf borderId="1" fillId="0" fontId="18" numFmtId="0" xfId="0" applyAlignment="1" applyBorder="1" applyFont="1">
      <alignment horizontal="right" shrinkToFit="0" wrapText="1"/>
    </xf>
    <xf borderId="6" fillId="0" fontId="22" numFmtId="0" xfId="0" applyAlignment="1" applyBorder="1" applyFont="1">
      <alignment horizontal="center"/>
    </xf>
    <xf borderId="2" fillId="0" fontId="18" numFmtId="0" xfId="0" applyAlignment="1" applyBorder="1" applyFont="1">
      <alignment horizontal="right"/>
    </xf>
    <xf quotePrefix="1" borderId="2" fillId="0" fontId="18" numFmtId="0" xfId="0" applyAlignment="1" applyBorder="1" applyFont="1">
      <alignment horizontal="center"/>
    </xf>
    <xf quotePrefix="1" borderId="2" fillId="0" fontId="18" numFmtId="16" xfId="0" applyAlignment="1" applyBorder="1" applyFont="1" applyNumberFormat="1">
      <alignment horizontal="center"/>
    </xf>
    <xf borderId="6" fillId="5" fontId="21" numFmtId="0" xfId="0" applyAlignment="1" applyBorder="1" applyFont="1">
      <alignment horizontal="left"/>
    </xf>
    <xf borderId="2" fillId="6" fontId="18" numFmtId="0" xfId="0" applyAlignment="1" applyBorder="1" applyFont="1">
      <alignment horizontal="right" vertical="top"/>
    </xf>
    <xf borderId="2" fillId="0" fontId="18" numFmtId="9" xfId="0" applyAlignment="1" applyBorder="1" applyFont="1" applyNumberFormat="1">
      <alignment vertical="top"/>
    </xf>
    <xf borderId="6" fillId="0" fontId="18" numFmtId="0" xfId="0" applyAlignment="1" applyBorder="1" applyFont="1">
      <alignment horizontal="left" shrinkToFit="0" vertical="top" wrapText="1"/>
    </xf>
    <xf borderId="0" fillId="0" fontId="21" numFmtId="0" xfId="0" applyFont="1"/>
    <xf borderId="27" fillId="8" fontId="23" numFmtId="0" xfId="0" applyAlignment="1" applyBorder="1" applyFill="1" applyFont="1">
      <alignment horizontal="center" shrinkToFit="0" vertical="center" wrapText="1"/>
    </xf>
    <xf borderId="28" fillId="0" fontId="8" numFmtId="0" xfId="0" applyBorder="1" applyFont="1"/>
    <xf borderId="29" fillId="0" fontId="18" numFmtId="0" xfId="0" applyBorder="1" applyFont="1"/>
    <xf borderId="27" fillId="9" fontId="23" numFmtId="0" xfId="0" applyAlignment="1" applyBorder="1" applyFill="1" applyFont="1">
      <alignment horizontal="center" shrinkToFit="0" vertical="center" wrapText="1"/>
    </xf>
    <xf borderId="27" fillId="10" fontId="2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32</xdr:row>
      <xdr:rowOff>57150</xdr:rowOff>
    </xdr:from>
    <xdr:ext cx="6457950" cy="1952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32</xdr:row>
      <xdr:rowOff>9525</xdr:rowOff>
    </xdr:from>
    <xdr:ext cx="3924300" cy="3086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45</xdr:row>
      <xdr:rowOff>0</xdr:rowOff>
    </xdr:from>
    <xdr:ext cx="6286500" cy="44196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</xdr:row>
      <xdr:rowOff>47625</xdr:rowOff>
    </xdr:from>
    <xdr:ext cx="10925175" cy="50196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35</xdr:row>
      <xdr:rowOff>57150</xdr:rowOff>
    </xdr:from>
    <xdr:ext cx="7867650" cy="3857625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70</xdr:row>
      <xdr:rowOff>57150</xdr:rowOff>
    </xdr:from>
    <xdr:ext cx="9182100" cy="3895725"/>
    <xdr:pic>
      <xdr:nvPicPr>
        <xdr:cNvPr id="0" name="image6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75"/>
    <col customWidth="1" min="2" max="2" width="31.63"/>
    <col customWidth="1" min="3" max="3" width="36.25"/>
    <col customWidth="1" min="4" max="4" width="41.13"/>
    <col customWidth="1" min="5" max="5" width="80.75"/>
    <col customWidth="1" min="6" max="6" width="24.63"/>
    <col customWidth="1" min="7" max="7" width="7.75"/>
    <col customWidth="1" min="8" max="8" width="11.38"/>
    <col customWidth="1" min="9" max="9" width="18.13"/>
    <col customWidth="1" min="10" max="10" width="15.25"/>
    <col customWidth="1" min="11" max="11" width="7.75"/>
    <col customWidth="1" min="12" max="12" width="18.63"/>
    <col customWidth="1" min="13" max="13" width="38.25"/>
    <col customWidth="1" min="14" max="27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1.0</v>
      </c>
      <c r="B2" s="6" t="s">
        <v>12</v>
      </c>
      <c r="C2" s="7" t="s">
        <v>13</v>
      </c>
      <c r="D2" s="8" t="s">
        <v>14</v>
      </c>
      <c r="E2" s="9" t="s">
        <v>15</v>
      </c>
      <c r="F2" s="8" t="s">
        <v>16</v>
      </c>
      <c r="G2" s="7" t="s">
        <v>17</v>
      </c>
      <c r="H2" s="8" t="s">
        <v>18</v>
      </c>
      <c r="I2" s="10">
        <v>46164.0</v>
      </c>
      <c r="J2" s="7">
        <v>2.0</v>
      </c>
      <c r="K2" s="7">
        <v>90.0</v>
      </c>
      <c r="L2" s="7"/>
      <c r="M2" s="1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2"/>
      <c r="B3" s="12"/>
      <c r="C3" s="7" t="s">
        <v>19</v>
      </c>
      <c r="D3" s="7" t="s">
        <v>14</v>
      </c>
      <c r="E3" s="13" t="s">
        <v>20</v>
      </c>
      <c r="F3" s="8" t="s">
        <v>16</v>
      </c>
      <c r="G3" s="7" t="s">
        <v>21</v>
      </c>
      <c r="H3" s="8" t="s">
        <v>18</v>
      </c>
      <c r="I3" s="10">
        <v>46164.0</v>
      </c>
      <c r="J3" s="7">
        <v>3.0</v>
      </c>
      <c r="K3" s="7">
        <v>120.0</v>
      </c>
      <c r="L3" s="7"/>
      <c r="M3" s="1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5"/>
      <c r="B4" s="15"/>
      <c r="C4" s="7" t="s">
        <v>22</v>
      </c>
      <c r="D4" s="8" t="s">
        <v>14</v>
      </c>
      <c r="E4" s="9" t="s">
        <v>23</v>
      </c>
      <c r="F4" s="8" t="s">
        <v>16</v>
      </c>
      <c r="G4" s="7" t="s">
        <v>24</v>
      </c>
      <c r="H4" s="8" t="s">
        <v>18</v>
      </c>
      <c r="I4" s="10">
        <v>46164.0</v>
      </c>
      <c r="J4" s="7">
        <v>1.0</v>
      </c>
      <c r="K4" s="7">
        <v>60.0</v>
      </c>
      <c r="L4" s="7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6">
        <v>2.0</v>
      </c>
      <c r="B5" s="6" t="s">
        <v>25</v>
      </c>
      <c r="C5" s="7" t="s">
        <v>26</v>
      </c>
      <c r="D5" s="8" t="s">
        <v>27</v>
      </c>
      <c r="E5" s="13" t="s">
        <v>28</v>
      </c>
      <c r="F5" s="8" t="s">
        <v>16</v>
      </c>
      <c r="G5" s="7" t="s">
        <v>29</v>
      </c>
      <c r="H5" s="8" t="s">
        <v>18</v>
      </c>
      <c r="I5" s="10">
        <v>46164.0</v>
      </c>
      <c r="J5" s="7">
        <v>2.0</v>
      </c>
      <c r="K5" s="7">
        <v>90.0</v>
      </c>
      <c r="L5" s="7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/>
      <c r="B6" s="12"/>
      <c r="C6" s="7" t="s">
        <v>30</v>
      </c>
      <c r="D6" s="8" t="s">
        <v>27</v>
      </c>
      <c r="E6" s="17" t="s">
        <v>31</v>
      </c>
      <c r="F6" s="8" t="s">
        <v>16</v>
      </c>
      <c r="G6" s="7" t="s">
        <v>32</v>
      </c>
      <c r="H6" s="8" t="s">
        <v>18</v>
      </c>
      <c r="I6" s="10">
        <v>46164.0</v>
      </c>
      <c r="J6" s="7">
        <v>3.0</v>
      </c>
      <c r="K6" s="7">
        <v>120.0</v>
      </c>
      <c r="L6" s="7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2"/>
      <c r="B7" s="12"/>
      <c r="C7" s="7" t="s">
        <v>33</v>
      </c>
      <c r="D7" s="8" t="s">
        <v>34</v>
      </c>
      <c r="E7" s="13" t="s">
        <v>35</v>
      </c>
      <c r="F7" s="8" t="s">
        <v>16</v>
      </c>
      <c r="G7" s="7" t="s">
        <v>36</v>
      </c>
      <c r="H7" s="8" t="s">
        <v>18</v>
      </c>
      <c r="I7" s="10">
        <v>46164.0</v>
      </c>
      <c r="J7" s="7">
        <v>1.0</v>
      </c>
      <c r="K7" s="7">
        <v>60.0</v>
      </c>
      <c r="L7" s="7"/>
      <c r="M7" s="1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5"/>
      <c r="B8" s="15"/>
      <c r="C8" s="7" t="s">
        <v>37</v>
      </c>
      <c r="D8" s="8" t="s">
        <v>14</v>
      </c>
      <c r="E8" s="9" t="s">
        <v>38</v>
      </c>
      <c r="F8" s="8" t="s">
        <v>16</v>
      </c>
      <c r="G8" s="7" t="s">
        <v>39</v>
      </c>
      <c r="H8" s="8" t="s">
        <v>18</v>
      </c>
      <c r="I8" s="10">
        <v>46164.0</v>
      </c>
      <c r="J8" s="7">
        <v>3.0</v>
      </c>
      <c r="K8" s="7">
        <v>120.0</v>
      </c>
      <c r="L8" s="7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6">
        <v>3.0</v>
      </c>
      <c r="B9" s="16" t="s">
        <v>40</v>
      </c>
      <c r="C9" s="7" t="s">
        <v>41</v>
      </c>
      <c r="D9" s="8" t="s">
        <v>34</v>
      </c>
      <c r="E9" s="13" t="s">
        <v>42</v>
      </c>
      <c r="F9" s="18" t="s">
        <v>16</v>
      </c>
      <c r="G9" s="7" t="s">
        <v>43</v>
      </c>
      <c r="H9" s="18" t="s">
        <v>18</v>
      </c>
      <c r="I9" s="7"/>
      <c r="J9" s="7">
        <v>2.0</v>
      </c>
      <c r="K9" s="7">
        <v>90.0</v>
      </c>
      <c r="L9" s="7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2"/>
      <c r="B10" s="12"/>
      <c r="C10" s="7" t="s">
        <v>44</v>
      </c>
      <c r="D10" s="8" t="s">
        <v>34</v>
      </c>
      <c r="E10" s="9" t="s">
        <v>45</v>
      </c>
      <c r="F10" s="18" t="s">
        <v>16</v>
      </c>
      <c r="G10" s="7" t="s">
        <v>46</v>
      </c>
      <c r="H10" s="18" t="s">
        <v>18</v>
      </c>
      <c r="I10" s="7"/>
      <c r="J10" s="7">
        <v>3.0</v>
      </c>
      <c r="K10" s="7">
        <v>120.0</v>
      </c>
      <c r="L10" s="7"/>
      <c r="M10" s="1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5"/>
      <c r="B11" s="15"/>
      <c r="C11" s="7" t="s">
        <v>47</v>
      </c>
      <c r="D11" s="8" t="s">
        <v>48</v>
      </c>
      <c r="E11" s="13" t="s">
        <v>49</v>
      </c>
      <c r="F11" s="18" t="s">
        <v>16</v>
      </c>
      <c r="G11" s="7" t="s">
        <v>50</v>
      </c>
      <c r="H11" s="18" t="s">
        <v>18</v>
      </c>
      <c r="I11" s="7"/>
      <c r="J11" s="7">
        <v>3.0</v>
      </c>
      <c r="K11" s="7">
        <v>120.0</v>
      </c>
      <c r="L11" s="7"/>
      <c r="M11" s="1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6">
        <v>4.0</v>
      </c>
      <c r="B12" s="6" t="s">
        <v>51</v>
      </c>
      <c r="C12" s="7" t="s">
        <v>52</v>
      </c>
      <c r="D12" s="8" t="s">
        <v>34</v>
      </c>
      <c r="E12" s="19" t="s">
        <v>53</v>
      </c>
      <c r="F12" s="8" t="s">
        <v>16</v>
      </c>
      <c r="G12" s="7" t="s">
        <v>54</v>
      </c>
      <c r="H12" s="8" t="s">
        <v>18</v>
      </c>
      <c r="I12" s="7"/>
      <c r="J12" s="7">
        <v>2.0</v>
      </c>
      <c r="K12" s="7">
        <v>90.0</v>
      </c>
      <c r="L12" s="7"/>
      <c r="M12" s="1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5"/>
      <c r="B13" s="15"/>
      <c r="C13" s="8" t="s">
        <v>55</v>
      </c>
      <c r="D13" s="8" t="s">
        <v>34</v>
      </c>
      <c r="E13" s="20" t="s">
        <v>56</v>
      </c>
      <c r="F13" s="8" t="s">
        <v>16</v>
      </c>
      <c r="G13" s="7" t="s">
        <v>57</v>
      </c>
      <c r="H13" s="8" t="s">
        <v>18</v>
      </c>
      <c r="I13" s="7"/>
      <c r="J13" s="7"/>
      <c r="K13" s="7"/>
      <c r="L13" s="7"/>
      <c r="M13" s="1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">
        <v>5.0</v>
      </c>
      <c r="B14" s="7" t="s">
        <v>58</v>
      </c>
      <c r="C14" s="7" t="s">
        <v>59</v>
      </c>
      <c r="D14" s="8" t="s">
        <v>60</v>
      </c>
      <c r="E14" s="13" t="s">
        <v>61</v>
      </c>
      <c r="F14" s="8" t="s">
        <v>16</v>
      </c>
      <c r="G14" s="7" t="s">
        <v>62</v>
      </c>
      <c r="H14" s="18" t="s">
        <v>18</v>
      </c>
      <c r="I14" s="21">
        <v>45804.0</v>
      </c>
      <c r="J14" s="7">
        <v>4.0</v>
      </c>
      <c r="K14" s="7">
        <v>150.0</v>
      </c>
      <c r="L14" s="7"/>
      <c r="M14" s="1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6">
        <v>6.0</v>
      </c>
      <c r="B15" s="16" t="s">
        <v>63</v>
      </c>
      <c r="C15" s="7" t="s">
        <v>64</v>
      </c>
      <c r="D15" s="8" t="s">
        <v>65</v>
      </c>
      <c r="E15" s="9" t="s">
        <v>66</v>
      </c>
      <c r="F15" s="8" t="s">
        <v>16</v>
      </c>
      <c r="G15" s="7" t="s">
        <v>67</v>
      </c>
      <c r="H15" s="8" t="s">
        <v>18</v>
      </c>
      <c r="I15" s="10">
        <v>46164.0</v>
      </c>
      <c r="J15" s="7">
        <v>3.0</v>
      </c>
      <c r="K15" s="7">
        <v>120.0</v>
      </c>
      <c r="L15" s="7"/>
      <c r="M15" s="1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2"/>
      <c r="B16" s="12"/>
      <c r="C16" s="7" t="s">
        <v>68</v>
      </c>
      <c r="D16" s="8" t="s">
        <v>65</v>
      </c>
      <c r="E16" s="13" t="s">
        <v>69</v>
      </c>
      <c r="F16" s="8" t="s">
        <v>16</v>
      </c>
      <c r="G16" s="7" t="s">
        <v>70</v>
      </c>
      <c r="H16" s="8" t="s">
        <v>18</v>
      </c>
      <c r="I16" s="7"/>
      <c r="J16" s="7">
        <v>2.0</v>
      </c>
      <c r="K16" s="7">
        <v>90.0</v>
      </c>
      <c r="L16" s="7"/>
      <c r="M16" s="1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2"/>
      <c r="B17" s="12"/>
      <c r="C17" s="7" t="s">
        <v>71</v>
      </c>
      <c r="D17" s="8" t="s">
        <v>65</v>
      </c>
      <c r="E17" s="9" t="s">
        <v>72</v>
      </c>
      <c r="F17" s="8" t="s">
        <v>16</v>
      </c>
      <c r="G17" s="7" t="s">
        <v>73</v>
      </c>
      <c r="H17" s="8" t="s">
        <v>18</v>
      </c>
      <c r="I17" s="10">
        <v>46164.0</v>
      </c>
      <c r="J17" s="7">
        <v>1.0</v>
      </c>
      <c r="K17" s="7">
        <v>60.0</v>
      </c>
      <c r="L17" s="7"/>
      <c r="M17" s="1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2"/>
      <c r="B18" s="12"/>
      <c r="C18" s="7" t="s">
        <v>74</v>
      </c>
      <c r="D18" s="8" t="s">
        <v>65</v>
      </c>
      <c r="E18" s="13" t="s">
        <v>75</v>
      </c>
      <c r="F18" s="8" t="s">
        <v>16</v>
      </c>
      <c r="G18" s="7" t="s">
        <v>76</v>
      </c>
      <c r="H18" s="18" t="s">
        <v>18</v>
      </c>
      <c r="I18" s="7"/>
      <c r="J18" s="7">
        <v>2.0</v>
      </c>
      <c r="K18" s="7">
        <v>90.0</v>
      </c>
      <c r="L18" s="7"/>
      <c r="M18" s="1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5"/>
      <c r="B19" s="15"/>
      <c r="C19" s="7" t="s">
        <v>77</v>
      </c>
      <c r="D19" s="8" t="s">
        <v>65</v>
      </c>
      <c r="E19" s="9" t="s">
        <v>78</v>
      </c>
      <c r="F19" s="8" t="s">
        <v>16</v>
      </c>
      <c r="G19" s="7" t="s">
        <v>79</v>
      </c>
      <c r="H19" s="8" t="s">
        <v>18</v>
      </c>
      <c r="I19" s="10">
        <v>46164.0</v>
      </c>
      <c r="J19" s="7">
        <v>2.0</v>
      </c>
      <c r="K19" s="7">
        <v>90.0</v>
      </c>
      <c r="L19" s="7"/>
      <c r="M19" s="1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6">
        <v>7.0</v>
      </c>
      <c r="B20" s="6" t="s">
        <v>80</v>
      </c>
      <c r="C20" s="7" t="s">
        <v>81</v>
      </c>
      <c r="D20" s="8" t="s">
        <v>82</v>
      </c>
      <c r="E20" s="13" t="s">
        <v>83</v>
      </c>
      <c r="F20" s="8" t="s">
        <v>84</v>
      </c>
      <c r="G20" s="7" t="s">
        <v>85</v>
      </c>
      <c r="H20" s="18" t="s">
        <v>18</v>
      </c>
      <c r="I20" s="7"/>
      <c r="J20" s="7">
        <v>3.0</v>
      </c>
      <c r="K20" s="7">
        <v>120.0</v>
      </c>
      <c r="L20" s="7"/>
      <c r="M20" s="1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2"/>
      <c r="B21" s="12"/>
      <c r="C21" s="7" t="s">
        <v>86</v>
      </c>
      <c r="D21" s="8" t="s">
        <v>82</v>
      </c>
      <c r="E21" s="9" t="s">
        <v>87</v>
      </c>
      <c r="F21" s="8" t="s">
        <v>84</v>
      </c>
      <c r="G21" s="7" t="s">
        <v>88</v>
      </c>
      <c r="H21" s="18" t="s">
        <v>18</v>
      </c>
      <c r="I21" s="7"/>
      <c r="J21" s="7">
        <v>3.0</v>
      </c>
      <c r="K21" s="7">
        <v>120.0</v>
      </c>
      <c r="L21" s="7"/>
      <c r="M21" s="1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2"/>
      <c r="B22" s="12"/>
      <c r="C22" s="7" t="s">
        <v>89</v>
      </c>
      <c r="D22" s="8" t="s">
        <v>82</v>
      </c>
      <c r="E22" s="13" t="s">
        <v>90</v>
      </c>
      <c r="F22" s="8" t="s">
        <v>84</v>
      </c>
      <c r="G22" s="7" t="s">
        <v>91</v>
      </c>
      <c r="H22" s="18" t="s">
        <v>18</v>
      </c>
      <c r="I22" s="7"/>
      <c r="J22" s="7">
        <v>2.0</v>
      </c>
      <c r="K22" s="7">
        <v>90.0</v>
      </c>
      <c r="L22" s="7"/>
      <c r="M22" s="1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5"/>
      <c r="B23" s="15"/>
      <c r="C23" s="7" t="s">
        <v>92</v>
      </c>
      <c r="D23" s="8" t="s">
        <v>82</v>
      </c>
      <c r="E23" s="9" t="s">
        <v>93</v>
      </c>
      <c r="F23" s="8" t="s">
        <v>84</v>
      </c>
      <c r="G23" s="7" t="s">
        <v>94</v>
      </c>
      <c r="H23" s="18" t="s">
        <v>18</v>
      </c>
      <c r="I23" s="7"/>
      <c r="J23" s="7">
        <v>2.0</v>
      </c>
      <c r="K23" s="7">
        <v>90.0</v>
      </c>
      <c r="L23" s="7"/>
      <c r="M23" s="1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6">
        <v>8.0</v>
      </c>
      <c r="B24" s="16" t="s">
        <v>95</v>
      </c>
      <c r="C24" s="7" t="s">
        <v>96</v>
      </c>
      <c r="D24" s="8" t="s">
        <v>97</v>
      </c>
      <c r="E24" s="19" t="s">
        <v>98</v>
      </c>
      <c r="F24" s="8" t="s">
        <v>99</v>
      </c>
      <c r="G24" s="7" t="s">
        <v>100</v>
      </c>
      <c r="H24" s="18" t="s">
        <v>18</v>
      </c>
      <c r="I24" s="10"/>
      <c r="J24" s="7">
        <v>4.0</v>
      </c>
      <c r="K24" s="7">
        <v>150.0</v>
      </c>
      <c r="L24" s="7"/>
      <c r="M24" s="1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2"/>
      <c r="B25" s="12"/>
      <c r="C25" s="7" t="s">
        <v>101</v>
      </c>
      <c r="D25" s="8" t="s">
        <v>97</v>
      </c>
      <c r="E25" s="13" t="s">
        <v>102</v>
      </c>
      <c r="F25" s="8" t="s">
        <v>99</v>
      </c>
      <c r="G25" s="7" t="s">
        <v>103</v>
      </c>
      <c r="H25" s="18" t="s">
        <v>18</v>
      </c>
      <c r="I25" s="10"/>
      <c r="J25" s="7">
        <v>4.0</v>
      </c>
      <c r="K25" s="7">
        <v>150.0</v>
      </c>
      <c r="L25" s="7"/>
      <c r="M25" s="1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2"/>
      <c r="B26" s="12"/>
      <c r="C26" s="7" t="s">
        <v>104</v>
      </c>
      <c r="D26" s="8" t="s">
        <v>97</v>
      </c>
      <c r="E26" s="9" t="s">
        <v>105</v>
      </c>
      <c r="F26" s="8" t="s">
        <v>99</v>
      </c>
      <c r="G26" s="7" t="s">
        <v>106</v>
      </c>
      <c r="H26" s="18" t="s">
        <v>18</v>
      </c>
      <c r="I26" s="10"/>
      <c r="J26" s="7">
        <v>1.0</v>
      </c>
      <c r="K26" s="7">
        <v>60.0</v>
      </c>
      <c r="L26" s="7"/>
      <c r="M26" s="1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2"/>
      <c r="B27" s="12"/>
      <c r="C27" s="7" t="s">
        <v>107</v>
      </c>
      <c r="D27" s="8" t="s">
        <v>97</v>
      </c>
      <c r="E27" s="22" t="s">
        <v>108</v>
      </c>
      <c r="F27" s="8" t="s">
        <v>99</v>
      </c>
      <c r="G27" s="7" t="s">
        <v>109</v>
      </c>
      <c r="H27" s="18" t="s">
        <v>18</v>
      </c>
      <c r="I27" s="10"/>
      <c r="J27" s="7">
        <v>1.0</v>
      </c>
      <c r="K27" s="7">
        <v>60.0</v>
      </c>
      <c r="L27" s="7"/>
      <c r="M27" s="1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5"/>
      <c r="B28" s="15"/>
      <c r="C28" s="7" t="s">
        <v>110</v>
      </c>
      <c r="D28" s="8" t="s">
        <v>97</v>
      </c>
      <c r="E28" s="17" t="s">
        <v>111</v>
      </c>
      <c r="F28" s="8" t="s">
        <v>99</v>
      </c>
      <c r="G28" s="7" t="s">
        <v>112</v>
      </c>
      <c r="H28" s="18" t="s">
        <v>18</v>
      </c>
      <c r="I28" s="10"/>
      <c r="J28" s="7">
        <v>4.0</v>
      </c>
      <c r="K28" s="7">
        <v>150.0</v>
      </c>
      <c r="L28" s="7"/>
      <c r="M28" s="1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8">
        <v>9.0</v>
      </c>
      <c r="B29" s="7" t="s">
        <v>113</v>
      </c>
      <c r="C29" s="7" t="s">
        <v>114</v>
      </c>
      <c r="D29" s="8" t="s">
        <v>65</v>
      </c>
      <c r="E29" s="22" t="s">
        <v>115</v>
      </c>
      <c r="F29" s="8" t="s">
        <v>16</v>
      </c>
      <c r="G29" s="7" t="s">
        <v>116</v>
      </c>
      <c r="H29" s="8" t="s">
        <v>18</v>
      </c>
      <c r="I29" s="7"/>
      <c r="J29" s="7">
        <v>4.0</v>
      </c>
      <c r="K29" s="7">
        <v>150.0</v>
      </c>
      <c r="L29" s="7"/>
      <c r="M29" s="1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6">
        <v>10.0</v>
      </c>
      <c r="B30" s="6" t="s">
        <v>117</v>
      </c>
      <c r="C30" s="7" t="s">
        <v>118</v>
      </c>
      <c r="D30" s="8" t="s">
        <v>97</v>
      </c>
      <c r="E30" s="19" t="s">
        <v>119</v>
      </c>
      <c r="F30" s="8" t="s">
        <v>120</v>
      </c>
      <c r="G30" s="7" t="s">
        <v>121</v>
      </c>
      <c r="H30" s="18" t="s">
        <v>18</v>
      </c>
      <c r="I30" s="7"/>
      <c r="J30" s="7">
        <v>3.0</v>
      </c>
      <c r="K30" s="7">
        <v>120.0</v>
      </c>
      <c r="L30" s="7"/>
      <c r="M30" s="1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2"/>
      <c r="B31" s="12"/>
      <c r="C31" s="7" t="s">
        <v>122</v>
      </c>
      <c r="D31" s="8" t="s">
        <v>97</v>
      </c>
      <c r="E31" s="13" t="s">
        <v>123</v>
      </c>
      <c r="F31" s="8" t="s">
        <v>120</v>
      </c>
      <c r="G31" s="7" t="s">
        <v>124</v>
      </c>
      <c r="H31" s="18" t="s">
        <v>18</v>
      </c>
      <c r="I31" s="7"/>
      <c r="J31" s="7">
        <v>2.0</v>
      </c>
      <c r="K31" s="7">
        <v>90.0</v>
      </c>
      <c r="L31" s="7"/>
      <c r="M31" s="1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2"/>
      <c r="B32" s="12"/>
      <c r="C32" s="7" t="s">
        <v>125</v>
      </c>
      <c r="D32" s="8" t="s">
        <v>97</v>
      </c>
      <c r="E32" s="17" t="s">
        <v>126</v>
      </c>
      <c r="F32" s="8" t="s">
        <v>120</v>
      </c>
      <c r="G32" s="7" t="s">
        <v>127</v>
      </c>
      <c r="H32" s="18" t="s">
        <v>18</v>
      </c>
      <c r="I32" s="7"/>
      <c r="J32" s="7">
        <v>1.0</v>
      </c>
      <c r="K32" s="7">
        <v>60.0</v>
      </c>
      <c r="L32" s="7"/>
      <c r="M32" s="1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5"/>
      <c r="B33" s="15"/>
      <c r="C33" s="7" t="s">
        <v>128</v>
      </c>
      <c r="D33" s="8" t="s">
        <v>97</v>
      </c>
      <c r="E33" s="13" t="s">
        <v>129</v>
      </c>
      <c r="F33" s="8" t="s">
        <v>120</v>
      </c>
      <c r="G33" s="7" t="s">
        <v>130</v>
      </c>
      <c r="H33" s="18" t="s">
        <v>18</v>
      </c>
      <c r="I33" s="7"/>
      <c r="J33" s="7">
        <v>3.0</v>
      </c>
      <c r="K33" s="7">
        <v>120.0</v>
      </c>
      <c r="L33" s="7"/>
      <c r="M33" s="1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6">
        <v>11.0</v>
      </c>
      <c r="B34" s="6" t="s">
        <v>131</v>
      </c>
      <c r="C34" s="7" t="s">
        <v>132</v>
      </c>
      <c r="D34" s="7" t="s">
        <v>60</v>
      </c>
      <c r="E34" s="9" t="s">
        <v>133</v>
      </c>
      <c r="F34" s="8" t="s">
        <v>120</v>
      </c>
      <c r="G34" s="7" t="s">
        <v>134</v>
      </c>
      <c r="H34" s="18" t="s">
        <v>18</v>
      </c>
      <c r="I34" s="7"/>
      <c r="J34" s="7">
        <v>3.0</v>
      </c>
      <c r="K34" s="7">
        <v>120.0</v>
      </c>
      <c r="L34" s="7"/>
      <c r="M34" s="1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2"/>
      <c r="B35" s="12"/>
      <c r="C35" s="7" t="s">
        <v>135</v>
      </c>
      <c r="D35" s="8" t="s">
        <v>97</v>
      </c>
      <c r="E35" s="13" t="s">
        <v>136</v>
      </c>
      <c r="F35" s="8" t="s">
        <v>120</v>
      </c>
      <c r="G35" s="7" t="s">
        <v>137</v>
      </c>
      <c r="H35" s="18" t="s">
        <v>18</v>
      </c>
      <c r="I35" s="7"/>
      <c r="J35" s="7">
        <v>2.0</v>
      </c>
      <c r="K35" s="7">
        <v>90.0</v>
      </c>
      <c r="L35" s="7"/>
      <c r="M35" s="1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5"/>
      <c r="B36" s="15"/>
      <c r="C36" s="7" t="s">
        <v>138</v>
      </c>
      <c r="D36" s="8" t="s">
        <v>97</v>
      </c>
      <c r="E36" s="9" t="s">
        <v>139</v>
      </c>
      <c r="F36" s="8" t="s">
        <v>120</v>
      </c>
      <c r="G36" s="7" t="s">
        <v>140</v>
      </c>
      <c r="H36" s="18" t="s">
        <v>18</v>
      </c>
      <c r="I36" s="7"/>
      <c r="J36" s="7">
        <v>3.0</v>
      </c>
      <c r="K36" s="7">
        <v>120.0</v>
      </c>
      <c r="L36" s="7"/>
      <c r="M36" s="1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6">
        <v>12.0</v>
      </c>
      <c r="B37" s="6" t="s">
        <v>141</v>
      </c>
      <c r="C37" s="7" t="s">
        <v>142</v>
      </c>
      <c r="D37" s="8" t="s">
        <v>97</v>
      </c>
      <c r="E37" s="13" t="s">
        <v>143</v>
      </c>
      <c r="F37" s="8" t="s">
        <v>120</v>
      </c>
      <c r="G37" s="7" t="s">
        <v>144</v>
      </c>
      <c r="H37" s="18" t="s">
        <v>18</v>
      </c>
      <c r="I37" s="7"/>
      <c r="J37" s="7">
        <v>2.0</v>
      </c>
      <c r="K37" s="7">
        <v>90.0</v>
      </c>
      <c r="L37" s="7"/>
      <c r="M37" s="1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15"/>
      <c r="B38" s="15"/>
      <c r="C38" s="7" t="s">
        <v>145</v>
      </c>
      <c r="D38" s="8" t="s">
        <v>97</v>
      </c>
      <c r="E38" s="9" t="s">
        <v>146</v>
      </c>
      <c r="F38" s="8" t="s">
        <v>120</v>
      </c>
      <c r="G38" s="7" t="s">
        <v>147</v>
      </c>
      <c r="H38" s="18" t="s">
        <v>18</v>
      </c>
      <c r="I38" s="7"/>
      <c r="J38" s="7">
        <v>2.0</v>
      </c>
      <c r="K38" s="7">
        <v>90.0</v>
      </c>
      <c r="L38" s="7"/>
      <c r="M38" s="1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6">
        <v>13.0</v>
      </c>
      <c r="B39" s="6" t="s">
        <v>148</v>
      </c>
      <c r="C39" s="7" t="s">
        <v>149</v>
      </c>
      <c r="D39" s="8" t="s">
        <v>65</v>
      </c>
      <c r="E39" s="13" t="s">
        <v>150</v>
      </c>
      <c r="F39" s="8" t="s">
        <v>120</v>
      </c>
      <c r="G39" s="7" t="s">
        <v>151</v>
      </c>
      <c r="H39" s="18" t="s">
        <v>18</v>
      </c>
      <c r="I39" s="7"/>
      <c r="J39" s="7">
        <v>3.0</v>
      </c>
      <c r="K39" s="7">
        <v>120.0</v>
      </c>
      <c r="L39" s="7"/>
      <c r="M39" s="1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2"/>
      <c r="B40" s="12"/>
      <c r="C40" s="7" t="s">
        <v>152</v>
      </c>
      <c r="D40" s="8" t="s">
        <v>65</v>
      </c>
      <c r="E40" s="9" t="s">
        <v>153</v>
      </c>
      <c r="F40" s="8" t="s">
        <v>120</v>
      </c>
      <c r="G40" s="7" t="s">
        <v>154</v>
      </c>
      <c r="H40" s="18" t="s">
        <v>18</v>
      </c>
      <c r="I40" s="7"/>
      <c r="J40" s="7">
        <v>3.0</v>
      </c>
      <c r="K40" s="7">
        <v>120.0</v>
      </c>
      <c r="L40" s="7"/>
      <c r="M40" s="1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12"/>
      <c r="B41" s="12"/>
      <c r="C41" s="7" t="s">
        <v>155</v>
      </c>
      <c r="D41" s="8" t="s">
        <v>65</v>
      </c>
      <c r="E41" s="13" t="s">
        <v>156</v>
      </c>
      <c r="F41" s="8" t="s">
        <v>120</v>
      </c>
      <c r="G41" s="7" t="s">
        <v>157</v>
      </c>
      <c r="H41" s="18" t="s">
        <v>18</v>
      </c>
      <c r="I41" s="7"/>
      <c r="J41" s="7">
        <v>2.0</v>
      </c>
      <c r="K41" s="7">
        <v>90.0</v>
      </c>
      <c r="L41" s="7"/>
      <c r="M41" s="1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12"/>
      <c r="B42" s="12"/>
      <c r="C42" s="7" t="s">
        <v>158</v>
      </c>
      <c r="D42" s="8" t="s">
        <v>65</v>
      </c>
      <c r="E42" s="9" t="s">
        <v>159</v>
      </c>
      <c r="F42" s="8" t="s">
        <v>120</v>
      </c>
      <c r="G42" s="7" t="s">
        <v>160</v>
      </c>
      <c r="H42" s="18" t="s">
        <v>18</v>
      </c>
      <c r="I42" s="7"/>
      <c r="J42" s="7">
        <v>2.0</v>
      </c>
      <c r="K42" s="7">
        <v>90.0</v>
      </c>
      <c r="L42" s="7"/>
      <c r="M42" s="1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5"/>
      <c r="B43" s="15"/>
      <c r="C43" s="7" t="s">
        <v>161</v>
      </c>
      <c r="D43" s="8" t="s">
        <v>65</v>
      </c>
      <c r="E43" s="13" t="s">
        <v>162</v>
      </c>
      <c r="F43" s="8" t="s">
        <v>120</v>
      </c>
      <c r="G43" s="7" t="s">
        <v>163</v>
      </c>
      <c r="H43" s="18" t="s">
        <v>18</v>
      </c>
      <c r="I43" s="7"/>
      <c r="J43" s="7">
        <v>2.0</v>
      </c>
      <c r="K43" s="7">
        <v>90.0</v>
      </c>
      <c r="L43" s="7"/>
      <c r="M43" s="1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6">
        <v>14.0</v>
      </c>
      <c r="B44" s="6" t="s">
        <v>164</v>
      </c>
      <c r="C44" s="7" t="s">
        <v>165</v>
      </c>
      <c r="D44" s="8" t="s">
        <v>65</v>
      </c>
      <c r="E44" s="9" t="s">
        <v>166</v>
      </c>
      <c r="F44" s="8" t="s">
        <v>120</v>
      </c>
      <c r="G44" s="7" t="s">
        <v>167</v>
      </c>
      <c r="H44" s="18" t="s">
        <v>18</v>
      </c>
      <c r="I44" s="7"/>
      <c r="J44" s="7">
        <v>2.0</v>
      </c>
      <c r="K44" s="7">
        <v>90.0</v>
      </c>
      <c r="L44" s="7"/>
      <c r="M44" s="1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2"/>
      <c r="B45" s="12"/>
      <c r="C45" s="7" t="s">
        <v>168</v>
      </c>
      <c r="D45" s="8" t="s">
        <v>65</v>
      </c>
      <c r="E45" s="13" t="s">
        <v>169</v>
      </c>
      <c r="F45" s="8" t="s">
        <v>120</v>
      </c>
      <c r="G45" s="7" t="s">
        <v>170</v>
      </c>
      <c r="H45" s="18" t="s">
        <v>18</v>
      </c>
      <c r="I45" s="7"/>
      <c r="J45" s="7">
        <v>3.0</v>
      </c>
      <c r="K45" s="7">
        <v>120.0</v>
      </c>
      <c r="L45" s="7"/>
      <c r="M45" s="1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5"/>
      <c r="B46" s="15"/>
      <c r="C46" s="7" t="s">
        <v>171</v>
      </c>
      <c r="D46" s="8" t="s">
        <v>65</v>
      </c>
      <c r="E46" s="19" t="s">
        <v>172</v>
      </c>
      <c r="F46" s="8" t="s">
        <v>120</v>
      </c>
      <c r="G46" s="7" t="s">
        <v>173</v>
      </c>
      <c r="H46" s="18" t="s">
        <v>18</v>
      </c>
      <c r="I46" s="7"/>
      <c r="J46" s="7">
        <v>3.0</v>
      </c>
      <c r="K46" s="7">
        <v>120.0</v>
      </c>
      <c r="L46" s="7"/>
      <c r="M46" s="1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6">
        <v>15.0</v>
      </c>
      <c r="B47" s="23" t="s">
        <v>174</v>
      </c>
      <c r="C47" s="18" t="s">
        <v>175</v>
      </c>
      <c r="D47" s="8" t="s">
        <v>14</v>
      </c>
      <c r="E47" s="13" t="s">
        <v>176</v>
      </c>
      <c r="F47" s="8" t="s">
        <v>16</v>
      </c>
      <c r="G47" s="7" t="s">
        <v>177</v>
      </c>
      <c r="H47" s="18" t="s">
        <v>18</v>
      </c>
      <c r="I47" s="7"/>
      <c r="J47" s="7">
        <v>1.0</v>
      </c>
      <c r="K47" s="7">
        <v>60.0</v>
      </c>
      <c r="L47" s="7"/>
      <c r="M47" s="1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2"/>
      <c r="B48" s="12"/>
      <c r="C48" s="7" t="s">
        <v>178</v>
      </c>
      <c r="D48" s="8" t="s">
        <v>48</v>
      </c>
      <c r="E48" s="9" t="s">
        <v>179</v>
      </c>
      <c r="F48" s="8" t="s">
        <v>16</v>
      </c>
      <c r="G48" s="7" t="s">
        <v>180</v>
      </c>
      <c r="H48" s="18" t="s">
        <v>18</v>
      </c>
      <c r="I48" s="7"/>
      <c r="J48" s="7">
        <v>3.0</v>
      </c>
      <c r="K48" s="7">
        <v>120.0</v>
      </c>
      <c r="L48" s="7"/>
      <c r="M48" s="1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2"/>
      <c r="B49" s="12"/>
      <c r="C49" s="7" t="s">
        <v>181</v>
      </c>
      <c r="D49" s="8" t="s">
        <v>48</v>
      </c>
      <c r="E49" s="13" t="s">
        <v>182</v>
      </c>
      <c r="F49" s="8" t="s">
        <v>16</v>
      </c>
      <c r="G49" s="7" t="s">
        <v>183</v>
      </c>
      <c r="H49" s="18" t="s">
        <v>18</v>
      </c>
      <c r="I49" s="7"/>
      <c r="J49" s="7">
        <v>4.0</v>
      </c>
      <c r="K49" s="7">
        <v>150.0</v>
      </c>
      <c r="L49" s="7"/>
      <c r="M49" s="1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2"/>
      <c r="B50" s="12"/>
      <c r="C50" s="7" t="s">
        <v>184</v>
      </c>
      <c r="D50" s="8" t="s">
        <v>65</v>
      </c>
      <c r="E50" s="17" t="s">
        <v>185</v>
      </c>
      <c r="F50" s="8" t="s">
        <v>16</v>
      </c>
      <c r="G50" s="7" t="s">
        <v>186</v>
      </c>
      <c r="H50" s="18" t="s">
        <v>18</v>
      </c>
      <c r="I50" s="7"/>
      <c r="J50" s="7">
        <v>2.0</v>
      </c>
      <c r="K50" s="7">
        <v>90.0</v>
      </c>
      <c r="L50" s="7"/>
      <c r="M50" s="1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2"/>
      <c r="B51" s="12"/>
      <c r="C51" s="7" t="s">
        <v>187</v>
      </c>
      <c r="D51" s="8" t="s">
        <v>65</v>
      </c>
      <c r="E51" s="22" t="s">
        <v>188</v>
      </c>
      <c r="F51" s="8" t="s">
        <v>16</v>
      </c>
      <c r="G51" s="7" t="s">
        <v>189</v>
      </c>
      <c r="H51" s="18" t="s">
        <v>18</v>
      </c>
      <c r="I51" s="7"/>
      <c r="J51" s="7">
        <v>2.0</v>
      </c>
      <c r="K51" s="7">
        <v>90.0</v>
      </c>
      <c r="L51" s="7"/>
      <c r="M51" s="1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15"/>
      <c r="B52" s="15"/>
      <c r="C52" s="18" t="s">
        <v>190</v>
      </c>
      <c r="D52" s="8" t="s">
        <v>65</v>
      </c>
      <c r="E52" s="17" t="s">
        <v>191</v>
      </c>
      <c r="F52" s="8" t="s">
        <v>16</v>
      </c>
      <c r="G52" s="7" t="s">
        <v>192</v>
      </c>
      <c r="H52" s="18" t="s">
        <v>18</v>
      </c>
      <c r="I52" s="7"/>
      <c r="J52" s="7">
        <v>2.0</v>
      </c>
      <c r="K52" s="7">
        <v>90.0</v>
      </c>
      <c r="L52" s="7"/>
      <c r="M52" s="1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6">
        <v>16.0</v>
      </c>
      <c r="B53" s="23" t="s">
        <v>193</v>
      </c>
      <c r="C53" s="7" t="s">
        <v>194</v>
      </c>
      <c r="D53" s="8" t="s">
        <v>48</v>
      </c>
      <c r="E53" s="22" t="s">
        <v>195</v>
      </c>
      <c r="F53" s="18" t="s">
        <v>196</v>
      </c>
      <c r="G53" s="7" t="s">
        <v>197</v>
      </c>
      <c r="H53" s="18" t="s">
        <v>198</v>
      </c>
      <c r="I53" s="7"/>
      <c r="J53" s="7">
        <v>2.0</v>
      </c>
      <c r="K53" s="7">
        <v>90.0</v>
      </c>
      <c r="L53" s="7"/>
      <c r="M53" s="1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2"/>
      <c r="B54" s="12"/>
      <c r="C54" s="7" t="s">
        <v>199</v>
      </c>
      <c r="D54" s="8" t="s">
        <v>48</v>
      </c>
      <c r="E54" s="17" t="s">
        <v>200</v>
      </c>
      <c r="F54" s="18" t="s">
        <v>196</v>
      </c>
      <c r="G54" s="7" t="s">
        <v>201</v>
      </c>
      <c r="H54" s="18" t="s">
        <v>198</v>
      </c>
      <c r="I54" s="7"/>
      <c r="J54" s="7">
        <v>1.0</v>
      </c>
      <c r="K54" s="7">
        <v>60.0</v>
      </c>
      <c r="L54" s="7"/>
      <c r="M54" s="1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15"/>
      <c r="B55" s="15"/>
      <c r="C55" s="7" t="s">
        <v>202</v>
      </c>
      <c r="D55" s="8" t="s">
        <v>48</v>
      </c>
      <c r="E55" s="22" t="s">
        <v>203</v>
      </c>
      <c r="F55" s="18" t="s">
        <v>196</v>
      </c>
      <c r="G55" s="7" t="s">
        <v>204</v>
      </c>
      <c r="H55" s="18" t="s">
        <v>198</v>
      </c>
      <c r="I55" s="7"/>
      <c r="J55" s="7">
        <v>3.0</v>
      </c>
      <c r="K55" s="7">
        <v>120.0</v>
      </c>
      <c r="L55" s="7"/>
      <c r="M55" s="1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16">
        <v>17.0</v>
      </c>
      <c r="B56" s="6" t="s">
        <v>205</v>
      </c>
      <c r="C56" s="7" t="s">
        <v>206</v>
      </c>
      <c r="D56" s="8" t="s">
        <v>48</v>
      </c>
      <c r="E56" s="17" t="s">
        <v>207</v>
      </c>
      <c r="F56" s="18" t="s">
        <v>16</v>
      </c>
      <c r="G56" s="7" t="s">
        <v>208</v>
      </c>
      <c r="H56" s="18" t="s">
        <v>18</v>
      </c>
      <c r="I56" s="7"/>
      <c r="J56" s="7">
        <v>2.0</v>
      </c>
      <c r="K56" s="7">
        <v>90.0</v>
      </c>
      <c r="L56" s="7"/>
      <c r="M56" s="1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15"/>
      <c r="B57" s="15"/>
      <c r="C57" s="7" t="s">
        <v>209</v>
      </c>
      <c r="D57" s="8" t="s">
        <v>48</v>
      </c>
      <c r="E57" s="20" t="s">
        <v>210</v>
      </c>
      <c r="F57" s="8" t="s">
        <v>16</v>
      </c>
      <c r="G57" s="7" t="s">
        <v>211</v>
      </c>
      <c r="H57" s="18" t="s">
        <v>18</v>
      </c>
      <c r="I57" s="7"/>
      <c r="J57" s="7">
        <v>2.0</v>
      </c>
      <c r="K57" s="7">
        <v>90.0</v>
      </c>
      <c r="L57" s="7"/>
      <c r="M57" s="1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16">
        <v>18.0</v>
      </c>
      <c r="B58" s="6" t="s">
        <v>212</v>
      </c>
      <c r="C58" s="7" t="s">
        <v>213</v>
      </c>
      <c r="D58" s="8" t="s">
        <v>48</v>
      </c>
      <c r="E58" s="17" t="s">
        <v>214</v>
      </c>
      <c r="F58" s="8" t="s">
        <v>16</v>
      </c>
      <c r="G58" s="7" t="s">
        <v>215</v>
      </c>
      <c r="H58" s="18" t="s">
        <v>18</v>
      </c>
      <c r="I58" s="7"/>
      <c r="J58" s="7">
        <v>5.0</v>
      </c>
      <c r="K58" s="7">
        <v>180.0</v>
      </c>
      <c r="L58" s="7"/>
      <c r="M58" s="1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15"/>
      <c r="B59" s="15"/>
      <c r="C59" s="18" t="s">
        <v>216</v>
      </c>
      <c r="D59" s="8" t="s">
        <v>60</v>
      </c>
      <c r="E59" s="20" t="s">
        <v>217</v>
      </c>
      <c r="F59" s="8" t="s">
        <v>16</v>
      </c>
      <c r="G59" s="7" t="s">
        <v>218</v>
      </c>
      <c r="H59" s="18" t="s">
        <v>18</v>
      </c>
      <c r="I59" s="7"/>
      <c r="J59" s="7">
        <v>4.0</v>
      </c>
      <c r="K59" s="7">
        <v>150.0</v>
      </c>
      <c r="L59" s="7"/>
      <c r="M59" s="1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16">
        <v>19.0</v>
      </c>
      <c r="B60" s="6" t="s">
        <v>219</v>
      </c>
      <c r="C60" s="7" t="s">
        <v>220</v>
      </c>
      <c r="D60" s="8" t="s">
        <v>48</v>
      </c>
      <c r="E60" s="9" t="s">
        <v>221</v>
      </c>
      <c r="F60" s="8" t="s">
        <v>16</v>
      </c>
      <c r="G60" s="7" t="s">
        <v>222</v>
      </c>
      <c r="H60" s="18" t="s">
        <v>18</v>
      </c>
      <c r="I60" s="7"/>
      <c r="J60" s="7">
        <v>3.0</v>
      </c>
      <c r="K60" s="7">
        <v>120.0</v>
      </c>
      <c r="L60" s="7"/>
      <c r="M60" s="1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12"/>
      <c r="B61" s="12"/>
      <c r="C61" s="7" t="s">
        <v>223</v>
      </c>
      <c r="D61" s="8" t="s">
        <v>48</v>
      </c>
      <c r="E61" s="13" t="s">
        <v>224</v>
      </c>
      <c r="F61" s="8" t="s">
        <v>16</v>
      </c>
      <c r="G61" s="7" t="s">
        <v>225</v>
      </c>
      <c r="H61" s="18" t="s">
        <v>18</v>
      </c>
      <c r="I61" s="7"/>
      <c r="J61" s="7">
        <v>3.0</v>
      </c>
      <c r="K61" s="7">
        <v>120.0</v>
      </c>
      <c r="L61" s="7"/>
      <c r="M61" s="1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12"/>
      <c r="B62" s="12"/>
      <c r="C62" s="7" t="s">
        <v>226</v>
      </c>
      <c r="D62" s="8" t="s">
        <v>227</v>
      </c>
      <c r="E62" s="19" t="s">
        <v>129</v>
      </c>
      <c r="F62" s="8" t="s">
        <v>84</v>
      </c>
      <c r="G62" s="7" t="s">
        <v>228</v>
      </c>
      <c r="H62" s="18" t="s">
        <v>18</v>
      </c>
      <c r="I62" s="7"/>
      <c r="J62" s="18">
        <v>1.0</v>
      </c>
      <c r="K62" s="7">
        <v>60.0</v>
      </c>
      <c r="L62" s="7"/>
      <c r="M62" s="1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5"/>
      <c r="B63" s="15"/>
      <c r="C63" s="7" t="s">
        <v>229</v>
      </c>
      <c r="D63" s="8" t="s">
        <v>48</v>
      </c>
      <c r="E63" s="13" t="s">
        <v>230</v>
      </c>
      <c r="F63" s="8" t="s">
        <v>84</v>
      </c>
      <c r="G63" s="7" t="s">
        <v>231</v>
      </c>
      <c r="H63" s="18" t="s">
        <v>18</v>
      </c>
      <c r="I63" s="7"/>
      <c r="J63" s="7">
        <v>2.0</v>
      </c>
      <c r="K63" s="7">
        <v>90.0</v>
      </c>
      <c r="L63" s="7"/>
      <c r="M63" s="1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16">
        <v>20.0</v>
      </c>
      <c r="B64" s="23" t="s">
        <v>232</v>
      </c>
      <c r="C64" s="7" t="s">
        <v>233</v>
      </c>
      <c r="D64" s="8" t="s">
        <v>234</v>
      </c>
      <c r="E64" s="9" t="s">
        <v>235</v>
      </c>
      <c r="F64" s="18" t="s">
        <v>16</v>
      </c>
      <c r="G64" s="7" t="s">
        <v>236</v>
      </c>
      <c r="H64" s="18" t="s">
        <v>18</v>
      </c>
      <c r="I64" s="7"/>
      <c r="J64" s="7">
        <v>3.0</v>
      </c>
      <c r="K64" s="7">
        <v>120.0</v>
      </c>
      <c r="L64" s="7"/>
      <c r="M64" s="1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15"/>
      <c r="B65" s="15"/>
      <c r="C65" s="18" t="s">
        <v>237</v>
      </c>
      <c r="D65" s="8" t="s">
        <v>234</v>
      </c>
      <c r="E65" s="13" t="s">
        <v>238</v>
      </c>
      <c r="F65" s="18" t="s">
        <v>16</v>
      </c>
      <c r="G65" s="7" t="s">
        <v>239</v>
      </c>
      <c r="H65" s="18" t="s">
        <v>18</v>
      </c>
      <c r="I65" s="7"/>
      <c r="J65" s="7">
        <v>2.0</v>
      </c>
      <c r="K65" s="7">
        <v>90.0</v>
      </c>
      <c r="L65" s="7"/>
      <c r="M65" s="1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16">
        <v>21.0</v>
      </c>
      <c r="B66" s="23" t="s">
        <v>240</v>
      </c>
      <c r="C66" s="7" t="s">
        <v>241</v>
      </c>
      <c r="D66" s="8" t="s">
        <v>97</v>
      </c>
      <c r="E66" s="9" t="s">
        <v>242</v>
      </c>
      <c r="F66" s="8" t="s">
        <v>84</v>
      </c>
      <c r="G66" s="7" t="s">
        <v>243</v>
      </c>
      <c r="H66" s="18" t="s">
        <v>18</v>
      </c>
      <c r="I66" s="7"/>
      <c r="J66" s="7">
        <v>3.0</v>
      </c>
      <c r="K66" s="7">
        <v>120.0</v>
      </c>
      <c r="L66" s="7"/>
      <c r="M66" s="1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12"/>
      <c r="B67" s="12"/>
      <c r="C67" s="7" t="s">
        <v>244</v>
      </c>
      <c r="D67" s="8" t="s">
        <v>97</v>
      </c>
      <c r="E67" s="13" t="s">
        <v>245</v>
      </c>
      <c r="F67" s="8" t="s">
        <v>84</v>
      </c>
      <c r="G67" s="7" t="s">
        <v>246</v>
      </c>
      <c r="H67" s="18" t="s">
        <v>18</v>
      </c>
      <c r="I67" s="7"/>
      <c r="J67" s="7">
        <v>3.0</v>
      </c>
      <c r="K67" s="7">
        <v>120.0</v>
      </c>
      <c r="L67" s="7"/>
      <c r="M67" s="1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15"/>
      <c r="B68" s="15"/>
      <c r="C68" s="7" t="s">
        <v>247</v>
      </c>
      <c r="D68" s="8" t="s">
        <v>248</v>
      </c>
      <c r="E68" s="9" t="s">
        <v>249</v>
      </c>
      <c r="F68" s="8" t="s">
        <v>84</v>
      </c>
      <c r="G68" s="7" t="s">
        <v>250</v>
      </c>
      <c r="H68" s="18" t="s">
        <v>18</v>
      </c>
      <c r="I68" s="7"/>
      <c r="J68" s="7">
        <v>2.0</v>
      </c>
      <c r="K68" s="7">
        <v>90.0</v>
      </c>
      <c r="L68" s="7"/>
      <c r="M68" s="1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16">
        <v>22.0</v>
      </c>
      <c r="B69" s="6" t="s">
        <v>251</v>
      </c>
      <c r="C69" s="7" t="s">
        <v>252</v>
      </c>
      <c r="D69" s="8" t="s">
        <v>82</v>
      </c>
      <c r="E69" s="13" t="s">
        <v>253</v>
      </c>
      <c r="F69" s="18" t="s">
        <v>16</v>
      </c>
      <c r="G69" s="7" t="s">
        <v>254</v>
      </c>
      <c r="H69" s="18" t="s">
        <v>18</v>
      </c>
      <c r="I69" s="7"/>
      <c r="J69" s="7">
        <v>3.0</v>
      </c>
      <c r="K69" s="7">
        <v>120.0</v>
      </c>
      <c r="L69" s="7"/>
      <c r="M69" s="1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12"/>
      <c r="B70" s="12"/>
      <c r="C70" s="7" t="s">
        <v>255</v>
      </c>
      <c r="D70" s="8" t="s">
        <v>82</v>
      </c>
      <c r="E70" s="9" t="s">
        <v>256</v>
      </c>
      <c r="F70" s="18" t="s">
        <v>16</v>
      </c>
      <c r="G70" s="7" t="s">
        <v>257</v>
      </c>
      <c r="H70" s="18" t="s">
        <v>18</v>
      </c>
      <c r="I70" s="7"/>
      <c r="J70" s="7">
        <v>2.0</v>
      </c>
      <c r="K70" s="7">
        <v>90.0</v>
      </c>
      <c r="L70" s="7"/>
      <c r="M70" s="1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5"/>
      <c r="B71" s="15"/>
      <c r="C71" s="7" t="s">
        <v>258</v>
      </c>
      <c r="D71" s="8" t="s">
        <v>82</v>
      </c>
      <c r="E71" s="13" t="s">
        <v>259</v>
      </c>
      <c r="F71" s="18" t="s">
        <v>16</v>
      </c>
      <c r="G71" s="7" t="s">
        <v>260</v>
      </c>
      <c r="H71" s="18" t="s">
        <v>18</v>
      </c>
      <c r="I71" s="7"/>
      <c r="J71" s="7">
        <v>4.0</v>
      </c>
      <c r="K71" s="7">
        <v>150.0</v>
      </c>
      <c r="L71" s="7"/>
      <c r="M71" s="1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6">
        <v>23.0</v>
      </c>
      <c r="B72" s="6" t="s">
        <v>261</v>
      </c>
      <c r="C72" s="7" t="s">
        <v>262</v>
      </c>
      <c r="D72" s="8" t="s">
        <v>48</v>
      </c>
      <c r="E72" s="13" t="s">
        <v>263</v>
      </c>
      <c r="F72" s="24" t="s">
        <v>16</v>
      </c>
      <c r="G72" s="7" t="s">
        <v>264</v>
      </c>
      <c r="H72" s="18" t="s">
        <v>18</v>
      </c>
      <c r="I72" s="7"/>
      <c r="J72" s="7">
        <v>2.0</v>
      </c>
      <c r="K72" s="7">
        <v>90.0</v>
      </c>
      <c r="L72" s="7"/>
      <c r="M72" s="1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12"/>
      <c r="B73" s="12"/>
      <c r="C73" s="7" t="s">
        <v>265</v>
      </c>
      <c r="D73" s="8" t="s">
        <v>48</v>
      </c>
      <c r="E73" s="9" t="s">
        <v>266</v>
      </c>
      <c r="F73" s="25" t="s">
        <v>16</v>
      </c>
      <c r="G73" s="7" t="s">
        <v>267</v>
      </c>
      <c r="H73" s="18" t="s">
        <v>18</v>
      </c>
      <c r="I73" s="7"/>
      <c r="J73" s="7">
        <v>4.0</v>
      </c>
      <c r="K73" s="7">
        <v>150.0</v>
      </c>
      <c r="L73" s="7"/>
      <c r="M73" s="1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12"/>
      <c r="B74" s="12"/>
      <c r="C74" s="7" t="s">
        <v>268</v>
      </c>
      <c r="D74" s="8" t="s">
        <v>60</v>
      </c>
      <c r="E74" s="13" t="s">
        <v>269</v>
      </c>
      <c r="F74" s="25" t="s">
        <v>16</v>
      </c>
      <c r="G74" s="7" t="s">
        <v>270</v>
      </c>
      <c r="H74" s="18" t="s">
        <v>18</v>
      </c>
      <c r="I74" s="7"/>
      <c r="J74" s="7">
        <v>5.0</v>
      </c>
      <c r="K74" s="7">
        <v>180.0</v>
      </c>
      <c r="L74" s="7"/>
      <c r="M74" s="1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12"/>
      <c r="B75" s="12"/>
      <c r="C75" s="7" t="s">
        <v>271</v>
      </c>
      <c r="D75" s="8" t="s">
        <v>60</v>
      </c>
      <c r="E75" s="9" t="s">
        <v>272</v>
      </c>
      <c r="F75" s="25" t="s">
        <v>16</v>
      </c>
      <c r="G75" s="7" t="s">
        <v>273</v>
      </c>
      <c r="H75" s="18" t="s">
        <v>18</v>
      </c>
      <c r="I75" s="7"/>
      <c r="J75" s="7">
        <v>6.0</v>
      </c>
      <c r="K75" s="7">
        <v>210.0</v>
      </c>
      <c r="L75" s="7"/>
      <c r="M75" s="1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12"/>
      <c r="B76" s="12"/>
      <c r="C76" s="7" t="s">
        <v>274</v>
      </c>
      <c r="D76" s="8" t="s">
        <v>48</v>
      </c>
      <c r="E76" s="13" t="s">
        <v>275</v>
      </c>
      <c r="F76" s="25" t="s">
        <v>16</v>
      </c>
      <c r="G76" s="7" t="s">
        <v>276</v>
      </c>
      <c r="H76" s="18" t="s">
        <v>18</v>
      </c>
      <c r="I76" s="7"/>
      <c r="J76" s="7">
        <v>2.0</v>
      </c>
      <c r="K76" s="7">
        <v>90.0</v>
      </c>
      <c r="L76" s="7"/>
      <c r="M76" s="1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15"/>
      <c r="B77" s="15"/>
      <c r="C77" s="7" t="s">
        <v>277</v>
      </c>
      <c r="D77" s="8" t="s">
        <v>82</v>
      </c>
      <c r="E77" s="9" t="s">
        <v>278</v>
      </c>
      <c r="F77" s="25" t="s">
        <v>16</v>
      </c>
      <c r="G77" s="7" t="s">
        <v>279</v>
      </c>
      <c r="H77" s="18" t="s">
        <v>18</v>
      </c>
      <c r="I77" s="7"/>
      <c r="J77" s="7">
        <v>4.0</v>
      </c>
      <c r="K77" s="7">
        <v>150.0</v>
      </c>
      <c r="L77" s="7"/>
      <c r="M77" s="1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8">
        <v>24.0</v>
      </c>
      <c r="B78" s="18" t="s">
        <v>280</v>
      </c>
      <c r="C78" s="7" t="s">
        <v>281</v>
      </c>
      <c r="D78" s="8" t="s">
        <v>48</v>
      </c>
      <c r="E78" s="13" t="s">
        <v>282</v>
      </c>
      <c r="F78" s="25" t="s">
        <v>16</v>
      </c>
      <c r="G78" s="7" t="s">
        <v>283</v>
      </c>
      <c r="H78" s="18" t="s">
        <v>18</v>
      </c>
      <c r="I78" s="7"/>
      <c r="J78" s="7">
        <v>4.0</v>
      </c>
      <c r="K78" s="7">
        <v>150.0</v>
      </c>
      <c r="L78" s="7"/>
      <c r="M78" s="1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8">
        <v>25.0</v>
      </c>
      <c r="B79" s="7" t="s">
        <v>284</v>
      </c>
      <c r="C79" s="18" t="s">
        <v>285</v>
      </c>
      <c r="D79" s="8" t="s">
        <v>60</v>
      </c>
      <c r="E79" s="19" t="s">
        <v>286</v>
      </c>
      <c r="F79" s="25" t="s">
        <v>16</v>
      </c>
      <c r="G79" s="7" t="s">
        <v>287</v>
      </c>
      <c r="H79" s="18" t="s">
        <v>18</v>
      </c>
      <c r="I79" s="7"/>
      <c r="J79" s="7">
        <v>3.0</v>
      </c>
      <c r="K79" s="7">
        <v>120.0</v>
      </c>
      <c r="L79" s="7"/>
      <c r="M79" s="1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8">
        <v>26.0</v>
      </c>
      <c r="B80" s="7" t="s">
        <v>288</v>
      </c>
      <c r="C80" s="18" t="s">
        <v>289</v>
      </c>
      <c r="D80" s="8" t="s">
        <v>48</v>
      </c>
      <c r="E80" s="19" t="s">
        <v>290</v>
      </c>
      <c r="F80" s="25" t="s">
        <v>16</v>
      </c>
      <c r="G80" s="7" t="s">
        <v>291</v>
      </c>
      <c r="H80" s="18" t="s">
        <v>18</v>
      </c>
      <c r="I80" s="7"/>
      <c r="J80" s="7">
        <v>4.0</v>
      </c>
      <c r="K80" s="7">
        <v>150.0</v>
      </c>
      <c r="L80" s="7"/>
      <c r="M80" s="1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8">
        <v>27.0</v>
      </c>
      <c r="B81" s="7" t="s">
        <v>292</v>
      </c>
      <c r="C81" s="18" t="s">
        <v>293</v>
      </c>
      <c r="D81" s="8" t="s">
        <v>48</v>
      </c>
      <c r="E81" s="20" t="s">
        <v>294</v>
      </c>
      <c r="F81" s="25" t="s">
        <v>16</v>
      </c>
      <c r="G81" s="7" t="s">
        <v>295</v>
      </c>
      <c r="H81" s="18" t="s">
        <v>18</v>
      </c>
      <c r="I81" s="7"/>
      <c r="J81" s="7">
        <v>3.0</v>
      </c>
      <c r="K81" s="7">
        <v>120.0</v>
      </c>
      <c r="L81" s="7"/>
      <c r="M81" s="1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16">
        <v>28.0</v>
      </c>
      <c r="B82" s="6" t="s">
        <v>296</v>
      </c>
      <c r="C82" s="7" t="s">
        <v>297</v>
      </c>
      <c r="D82" s="8" t="s">
        <v>298</v>
      </c>
      <c r="E82" s="19" t="s">
        <v>299</v>
      </c>
      <c r="F82" s="25" t="s">
        <v>16</v>
      </c>
      <c r="G82" s="7" t="s">
        <v>300</v>
      </c>
      <c r="H82" s="18" t="s">
        <v>18</v>
      </c>
      <c r="I82" s="7"/>
      <c r="J82" s="7">
        <v>4.0</v>
      </c>
      <c r="K82" s="7">
        <v>150.0</v>
      </c>
      <c r="L82" s="7"/>
      <c r="M82" s="1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12"/>
      <c r="B83" s="12"/>
      <c r="C83" s="18" t="s">
        <v>301</v>
      </c>
      <c r="D83" s="8" t="s">
        <v>298</v>
      </c>
      <c r="E83" s="13" t="s">
        <v>302</v>
      </c>
      <c r="F83" s="25" t="s">
        <v>16</v>
      </c>
      <c r="G83" s="7" t="s">
        <v>303</v>
      </c>
      <c r="H83" s="18" t="s">
        <v>18</v>
      </c>
      <c r="I83" s="7"/>
      <c r="J83" s="7">
        <v>4.0</v>
      </c>
      <c r="K83" s="7">
        <v>150.0</v>
      </c>
      <c r="L83" s="7"/>
      <c r="M83" s="1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15"/>
      <c r="B84" s="15"/>
      <c r="C84" s="7" t="s">
        <v>304</v>
      </c>
      <c r="D84" s="8" t="s">
        <v>298</v>
      </c>
      <c r="E84" s="9" t="s">
        <v>305</v>
      </c>
      <c r="F84" s="25" t="s">
        <v>16</v>
      </c>
      <c r="G84" s="7" t="s">
        <v>306</v>
      </c>
      <c r="H84" s="18" t="s">
        <v>18</v>
      </c>
      <c r="I84" s="7"/>
      <c r="J84" s="7">
        <v>4.0</v>
      </c>
      <c r="K84" s="7">
        <v>150.0</v>
      </c>
      <c r="L84" s="7"/>
      <c r="M84" s="1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6">
        <v>29.0</v>
      </c>
      <c r="B85" s="23" t="s">
        <v>307</v>
      </c>
      <c r="C85" s="7" t="s">
        <v>308</v>
      </c>
      <c r="D85" s="8" t="s">
        <v>48</v>
      </c>
      <c r="E85" s="13" t="s">
        <v>309</v>
      </c>
      <c r="F85" s="24" t="s">
        <v>84</v>
      </c>
      <c r="G85" s="7" t="s">
        <v>310</v>
      </c>
      <c r="H85" s="18" t="s">
        <v>18</v>
      </c>
      <c r="I85" s="7"/>
      <c r="J85" s="7">
        <v>4.0</v>
      </c>
      <c r="K85" s="7">
        <v>150.0</v>
      </c>
      <c r="L85" s="7"/>
      <c r="M85" s="1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2"/>
      <c r="B86" s="12"/>
      <c r="C86" s="7" t="s">
        <v>311</v>
      </c>
      <c r="D86" s="8" t="s">
        <v>48</v>
      </c>
      <c r="E86" s="9" t="s">
        <v>312</v>
      </c>
      <c r="F86" s="24" t="s">
        <v>84</v>
      </c>
      <c r="G86" s="7" t="s">
        <v>313</v>
      </c>
      <c r="H86" s="18" t="s">
        <v>18</v>
      </c>
      <c r="I86" s="7"/>
      <c r="J86" s="7">
        <v>3.0</v>
      </c>
      <c r="K86" s="7">
        <v>120.0</v>
      </c>
      <c r="L86" s="7"/>
      <c r="M86" s="1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2"/>
      <c r="B87" s="12"/>
      <c r="C87" s="7" t="s">
        <v>314</v>
      </c>
      <c r="D87" s="8" t="s">
        <v>48</v>
      </c>
      <c r="E87" s="13" t="s">
        <v>315</v>
      </c>
      <c r="F87" s="18" t="s">
        <v>84</v>
      </c>
      <c r="G87" s="7" t="s">
        <v>316</v>
      </c>
      <c r="H87" s="18" t="s">
        <v>18</v>
      </c>
      <c r="I87" s="7"/>
      <c r="J87" s="18">
        <v>1.0</v>
      </c>
      <c r="K87" s="7">
        <v>60.0</v>
      </c>
      <c r="L87" s="7"/>
      <c r="M87" s="1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2"/>
      <c r="B88" s="12"/>
      <c r="C88" s="7" t="s">
        <v>317</v>
      </c>
      <c r="D88" s="8" t="s">
        <v>60</v>
      </c>
      <c r="E88" s="9" t="s">
        <v>318</v>
      </c>
      <c r="F88" s="18" t="s">
        <v>84</v>
      </c>
      <c r="G88" s="7" t="s">
        <v>319</v>
      </c>
      <c r="H88" s="18" t="s">
        <v>18</v>
      </c>
      <c r="I88" s="7"/>
      <c r="J88" s="7">
        <v>2.0</v>
      </c>
      <c r="K88" s="7">
        <v>90.0</v>
      </c>
      <c r="L88" s="7"/>
      <c r="M88" s="1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5"/>
      <c r="B89" s="15"/>
      <c r="C89" s="18" t="s">
        <v>320</v>
      </c>
      <c r="D89" s="8" t="s">
        <v>82</v>
      </c>
      <c r="E89" s="13" t="s">
        <v>321</v>
      </c>
      <c r="F89" s="18" t="s">
        <v>84</v>
      </c>
      <c r="G89" s="7" t="s">
        <v>322</v>
      </c>
      <c r="H89" s="18" t="s">
        <v>18</v>
      </c>
      <c r="I89" s="7"/>
      <c r="J89" s="7">
        <v>3.0</v>
      </c>
      <c r="K89" s="7">
        <v>120.0</v>
      </c>
      <c r="L89" s="7"/>
      <c r="M89" s="1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6">
        <v>30.0</v>
      </c>
      <c r="B90" s="23" t="s">
        <v>323</v>
      </c>
      <c r="C90" s="7" t="s">
        <v>209</v>
      </c>
      <c r="D90" s="8" t="s">
        <v>60</v>
      </c>
      <c r="E90" s="19" t="s">
        <v>324</v>
      </c>
      <c r="F90" s="8" t="s">
        <v>99</v>
      </c>
      <c r="G90" s="7" t="s">
        <v>325</v>
      </c>
      <c r="H90" s="18" t="s">
        <v>18</v>
      </c>
      <c r="I90" s="7"/>
      <c r="J90" s="7">
        <v>2.0</v>
      </c>
      <c r="K90" s="7">
        <v>90.0</v>
      </c>
      <c r="L90" s="7"/>
      <c r="M90" s="1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2"/>
      <c r="B91" s="12"/>
      <c r="C91" s="7" t="s">
        <v>326</v>
      </c>
      <c r="D91" s="8" t="s">
        <v>60</v>
      </c>
      <c r="E91" s="13" t="s">
        <v>327</v>
      </c>
      <c r="F91" s="8" t="s">
        <v>99</v>
      </c>
      <c r="G91" s="7" t="s">
        <v>328</v>
      </c>
      <c r="H91" s="18" t="s">
        <v>18</v>
      </c>
      <c r="I91" s="7"/>
      <c r="J91" s="7">
        <v>2.0</v>
      </c>
      <c r="K91" s="7">
        <v>90.0</v>
      </c>
      <c r="L91" s="7"/>
      <c r="M91" s="1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2"/>
      <c r="B92" s="12"/>
      <c r="C92" s="7" t="s">
        <v>329</v>
      </c>
      <c r="D92" s="8" t="s">
        <v>60</v>
      </c>
      <c r="E92" s="9" t="s">
        <v>330</v>
      </c>
      <c r="F92" s="8" t="s">
        <v>99</v>
      </c>
      <c r="G92" s="7" t="s">
        <v>331</v>
      </c>
      <c r="H92" s="18" t="s">
        <v>18</v>
      </c>
      <c r="I92" s="7"/>
      <c r="J92" s="7">
        <v>2.0</v>
      </c>
      <c r="K92" s="7">
        <v>90.0</v>
      </c>
      <c r="L92" s="7"/>
      <c r="M92" s="1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2"/>
      <c r="B93" s="12"/>
      <c r="C93" s="18" t="s">
        <v>332</v>
      </c>
      <c r="D93" s="8" t="s">
        <v>82</v>
      </c>
      <c r="E93" s="13" t="s">
        <v>333</v>
      </c>
      <c r="F93" s="18" t="s">
        <v>84</v>
      </c>
      <c r="G93" s="7" t="s">
        <v>334</v>
      </c>
      <c r="H93" s="18" t="s">
        <v>18</v>
      </c>
      <c r="I93" s="7"/>
      <c r="J93" s="7">
        <v>4.0</v>
      </c>
      <c r="K93" s="7">
        <v>150.0</v>
      </c>
      <c r="L93" s="7"/>
      <c r="M93" s="1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2"/>
      <c r="B94" s="12"/>
      <c r="C94" s="7" t="s">
        <v>335</v>
      </c>
      <c r="D94" s="8" t="s">
        <v>60</v>
      </c>
      <c r="E94" s="19" t="s">
        <v>336</v>
      </c>
      <c r="F94" s="8" t="s">
        <v>99</v>
      </c>
      <c r="G94" s="7" t="s">
        <v>337</v>
      </c>
      <c r="H94" s="18" t="s">
        <v>18</v>
      </c>
      <c r="I94" s="7"/>
      <c r="J94" s="7">
        <v>2.0</v>
      </c>
      <c r="K94" s="7">
        <v>90.0</v>
      </c>
      <c r="L94" s="7"/>
      <c r="M94" s="2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2"/>
      <c r="B95" s="12"/>
      <c r="C95" s="7" t="s">
        <v>338</v>
      </c>
      <c r="D95" s="8" t="s">
        <v>60</v>
      </c>
      <c r="E95" s="20" t="s">
        <v>339</v>
      </c>
      <c r="F95" s="8" t="s">
        <v>99</v>
      </c>
      <c r="G95" s="7" t="s">
        <v>340</v>
      </c>
      <c r="H95" s="18" t="s">
        <v>18</v>
      </c>
      <c r="I95" s="7"/>
      <c r="J95" s="7">
        <v>3.0</v>
      </c>
      <c r="K95" s="7">
        <v>120.0</v>
      </c>
      <c r="L95" s="7"/>
      <c r="M95" s="2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2"/>
      <c r="B96" s="12"/>
      <c r="C96" s="7" t="s">
        <v>341</v>
      </c>
      <c r="D96" s="8" t="s">
        <v>60</v>
      </c>
      <c r="E96" s="9" t="s">
        <v>342</v>
      </c>
      <c r="F96" s="8" t="s">
        <v>16</v>
      </c>
      <c r="G96" s="7" t="s">
        <v>343</v>
      </c>
      <c r="H96" s="8" t="s">
        <v>18</v>
      </c>
      <c r="I96" s="7"/>
      <c r="J96" s="7">
        <v>4.0</v>
      </c>
      <c r="K96" s="7">
        <v>150.0</v>
      </c>
      <c r="L96" s="7"/>
      <c r="M96" s="2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5"/>
      <c r="B97" s="15"/>
      <c r="C97" s="7" t="s">
        <v>344</v>
      </c>
      <c r="D97" s="8" t="s">
        <v>48</v>
      </c>
      <c r="E97" s="20" t="s">
        <v>345</v>
      </c>
      <c r="F97" s="8" t="s">
        <v>99</v>
      </c>
      <c r="G97" s="7" t="s">
        <v>346</v>
      </c>
      <c r="H97" s="18" t="s">
        <v>18</v>
      </c>
      <c r="I97" s="7"/>
      <c r="J97" s="7">
        <v>3.0</v>
      </c>
      <c r="K97" s="7">
        <v>120.0</v>
      </c>
      <c r="L97" s="7"/>
      <c r="M97" s="2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6">
        <v>31.0</v>
      </c>
      <c r="B98" s="23" t="s">
        <v>347</v>
      </c>
      <c r="C98" s="7" t="s">
        <v>348</v>
      </c>
      <c r="D98" s="8" t="s">
        <v>82</v>
      </c>
      <c r="E98" s="9" t="s">
        <v>349</v>
      </c>
      <c r="F98" s="18" t="s">
        <v>84</v>
      </c>
      <c r="G98" s="7" t="s">
        <v>350</v>
      </c>
      <c r="H98" s="18" t="s">
        <v>18</v>
      </c>
      <c r="I98" s="7"/>
      <c r="J98" s="7">
        <v>4.0</v>
      </c>
      <c r="K98" s="7">
        <v>150.0</v>
      </c>
      <c r="L98" s="7"/>
      <c r="M98" s="2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2"/>
      <c r="B99" s="12"/>
      <c r="C99" s="7" t="s">
        <v>351</v>
      </c>
      <c r="D99" s="8" t="s">
        <v>82</v>
      </c>
      <c r="E99" s="13" t="s">
        <v>352</v>
      </c>
      <c r="F99" s="18" t="s">
        <v>84</v>
      </c>
      <c r="G99" s="7" t="s">
        <v>353</v>
      </c>
      <c r="H99" s="18" t="s">
        <v>18</v>
      </c>
      <c r="I99" s="7"/>
      <c r="J99" s="7">
        <v>4.0</v>
      </c>
      <c r="K99" s="7">
        <v>150.0</v>
      </c>
      <c r="L99" s="7"/>
      <c r="M99" s="2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5"/>
      <c r="B100" s="15"/>
      <c r="C100" s="7" t="s">
        <v>354</v>
      </c>
      <c r="D100" s="8" t="s">
        <v>82</v>
      </c>
      <c r="E100" s="9" t="s">
        <v>355</v>
      </c>
      <c r="F100" s="18" t="s">
        <v>84</v>
      </c>
      <c r="G100" s="7" t="s">
        <v>356</v>
      </c>
      <c r="H100" s="18" t="s">
        <v>18</v>
      </c>
      <c r="I100" s="7"/>
      <c r="J100" s="7">
        <v>4.0</v>
      </c>
      <c r="K100" s="7">
        <v>150.0</v>
      </c>
      <c r="L100" s="7"/>
      <c r="M100" s="2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6">
        <v>32.0</v>
      </c>
      <c r="B101" s="23" t="s">
        <v>357</v>
      </c>
      <c r="C101" s="7" t="s">
        <v>358</v>
      </c>
      <c r="D101" s="8" t="s">
        <v>298</v>
      </c>
      <c r="E101" s="13" t="s">
        <v>359</v>
      </c>
      <c r="F101" s="8" t="s">
        <v>99</v>
      </c>
      <c r="G101" s="7" t="s">
        <v>360</v>
      </c>
      <c r="H101" s="18" t="s">
        <v>18</v>
      </c>
      <c r="I101" s="7"/>
      <c r="J101" s="7">
        <v>5.0</v>
      </c>
      <c r="K101" s="7">
        <v>180.0</v>
      </c>
      <c r="L101" s="7"/>
      <c r="M101" s="2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2"/>
      <c r="B102" s="12"/>
      <c r="C102" s="7" t="s">
        <v>361</v>
      </c>
      <c r="D102" s="8" t="s">
        <v>298</v>
      </c>
      <c r="E102" s="9" t="s">
        <v>362</v>
      </c>
      <c r="F102" s="8" t="s">
        <v>99</v>
      </c>
      <c r="G102" s="7" t="s">
        <v>363</v>
      </c>
      <c r="H102" s="18" t="s">
        <v>18</v>
      </c>
      <c r="I102" s="7"/>
      <c r="J102" s="7">
        <v>6.0</v>
      </c>
      <c r="K102" s="7">
        <v>210.0</v>
      </c>
      <c r="L102" s="7"/>
      <c r="M102" s="2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5"/>
      <c r="B103" s="15"/>
      <c r="C103" s="7" t="s">
        <v>364</v>
      </c>
      <c r="D103" s="8" t="s">
        <v>298</v>
      </c>
      <c r="E103" s="13" t="s">
        <v>240</v>
      </c>
      <c r="F103" s="8" t="s">
        <v>99</v>
      </c>
      <c r="G103" s="7" t="s">
        <v>365</v>
      </c>
      <c r="H103" s="18" t="s">
        <v>18</v>
      </c>
      <c r="I103" s="7"/>
      <c r="J103" s="7">
        <v>4.0</v>
      </c>
      <c r="K103" s="7">
        <v>150.0</v>
      </c>
      <c r="L103" s="7"/>
      <c r="M103" s="2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8">
        <v>33.0</v>
      </c>
      <c r="B104" s="7" t="s">
        <v>366</v>
      </c>
      <c r="C104" s="18" t="s">
        <v>366</v>
      </c>
      <c r="D104" s="8" t="s">
        <v>60</v>
      </c>
      <c r="E104" s="19" t="s">
        <v>367</v>
      </c>
      <c r="F104" s="8" t="s">
        <v>99</v>
      </c>
      <c r="G104" s="7" t="s">
        <v>57</v>
      </c>
      <c r="H104" s="18" t="s">
        <v>18</v>
      </c>
      <c r="I104" s="7"/>
      <c r="J104" s="7">
        <v>7.0</v>
      </c>
      <c r="K104" s="7">
        <v>240.0</v>
      </c>
      <c r="L104" s="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7"/>
      <c r="B105" s="5"/>
      <c r="C105" s="5"/>
      <c r="D105" s="5"/>
      <c r="E105" s="9"/>
      <c r="F105" s="5"/>
      <c r="G105" s="5"/>
      <c r="H105" s="5"/>
      <c r="I105" s="28"/>
      <c r="J105" s="28"/>
      <c r="K105" s="5"/>
      <c r="L105" s="28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28"/>
      <c r="J106" s="28"/>
      <c r="K106" s="5"/>
      <c r="L106" s="2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28"/>
      <c r="J107" s="28"/>
      <c r="K107" s="5"/>
      <c r="L107" s="28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28"/>
      <c r="J108" s="28"/>
      <c r="K108" s="5"/>
      <c r="L108" s="2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28"/>
      <c r="J109" s="28"/>
      <c r="K109" s="5"/>
      <c r="L109" s="28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28"/>
      <c r="J110" s="28"/>
      <c r="K110" s="5"/>
      <c r="L110" s="2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28"/>
      <c r="J111" s="28"/>
      <c r="K111" s="5"/>
      <c r="L111" s="2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28"/>
      <c r="J112" s="28"/>
      <c r="K112" s="5"/>
      <c r="L112" s="2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28"/>
      <c r="J113" s="28"/>
      <c r="K113" s="5"/>
      <c r="L113" s="28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28"/>
      <c r="J114" s="28"/>
      <c r="K114" s="5"/>
      <c r="L114" s="2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28"/>
      <c r="J115" s="28"/>
      <c r="K115" s="5"/>
      <c r="L115" s="28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28"/>
      <c r="J116" s="28"/>
      <c r="K116" s="5"/>
      <c r="L116" s="2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28"/>
      <c r="J117" s="28"/>
      <c r="K117" s="5"/>
      <c r="L117" s="28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28"/>
      <c r="J118" s="28"/>
      <c r="K118" s="5"/>
      <c r="L118" s="2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28"/>
      <c r="J119" s="28"/>
      <c r="K119" s="5"/>
      <c r="L119" s="28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28"/>
      <c r="J120" s="28"/>
      <c r="K120" s="5"/>
      <c r="L120" s="2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28"/>
      <c r="J121" s="28"/>
      <c r="K121" s="5"/>
      <c r="L121" s="28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28"/>
      <c r="J122" s="28"/>
      <c r="K122" s="5"/>
      <c r="L122" s="2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28"/>
      <c r="J123" s="28"/>
      <c r="K123" s="5"/>
      <c r="L123" s="28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28"/>
      <c r="J124" s="28"/>
      <c r="K124" s="5"/>
      <c r="L124" s="2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28"/>
      <c r="J125" s="28"/>
      <c r="K125" s="5"/>
      <c r="L125" s="28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28"/>
      <c r="J126" s="28"/>
      <c r="K126" s="5"/>
      <c r="L126" s="2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28"/>
      <c r="J127" s="28"/>
      <c r="K127" s="5"/>
      <c r="L127" s="28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28"/>
      <c r="J128" s="28"/>
      <c r="K128" s="5"/>
      <c r="L128" s="2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28"/>
      <c r="J129" s="28"/>
      <c r="K129" s="5"/>
      <c r="L129" s="28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28"/>
      <c r="J130" s="28"/>
      <c r="K130" s="5"/>
      <c r="L130" s="2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28"/>
      <c r="J131" s="28"/>
      <c r="K131" s="5"/>
      <c r="L131" s="28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28"/>
      <c r="J132" s="28"/>
      <c r="K132" s="5"/>
      <c r="L132" s="2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28"/>
      <c r="J133" s="28"/>
      <c r="K133" s="5"/>
      <c r="L133" s="28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28"/>
      <c r="J134" s="28"/>
      <c r="K134" s="5"/>
      <c r="L134" s="2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28"/>
      <c r="J135" s="28"/>
      <c r="K135" s="5"/>
      <c r="L135" s="28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28"/>
      <c r="J136" s="28"/>
      <c r="K136" s="5"/>
      <c r="L136" s="2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28"/>
      <c r="J137" s="28"/>
      <c r="K137" s="5"/>
      <c r="L137" s="28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28"/>
      <c r="J138" s="28"/>
      <c r="K138" s="5"/>
      <c r="L138" s="2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28"/>
      <c r="J139" s="28"/>
      <c r="K139" s="5"/>
      <c r="L139" s="28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28"/>
      <c r="J140" s="28"/>
      <c r="K140" s="5"/>
      <c r="L140" s="2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28"/>
      <c r="J141" s="28"/>
      <c r="K141" s="5"/>
      <c r="L141" s="28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28"/>
      <c r="J142" s="28"/>
      <c r="K142" s="5"/>
      <c r="L142" s="2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28"/>
      <c r="J143" s="28"/>
      <c r="K143" s="5"/>
      <c r="L143" s="28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28"/>
      <c r="J144" s="28"/>
      <c r="K144" s="5"/>
      <c r="L144" s="2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28"/>
      <c r="J145" s="28"/>
      <c r="K145" s="5"/>
      <c r="L145" s="2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28"/>
      <c r="J146" s="28"/>
      <c r="K146" s="5"/>
      <c r="L146" s="2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28"/>
      <c r="J147" s="28"/>
      <c r="K147" s="5"/>
      <c r="L147" s="2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28"/>
      <c r="J148" s="28"/>
      <c r="K148" s="5"/>
      <c r="L148" s="2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28"/>
      <c r="J149" s="28"/>
      <c r="K149" s="5"/>
      <c r="L149" s="28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28"/>
      <c r="J150" s="28"/>
      <c r="K150" s="5"/>
      <c r="L150" s="2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28"/>
      <c r="J151" s="28"/>
      <c r="K151" s="5"/>
      <c r="L151" s="2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28"/>
      <c r="J152" s="28"/>
      <c r="K152" s="5"/>
      <c r="L152" s="2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28"/>
      <c r="J153" s="28"/>
      <c r="K153" s="5"/>
      <c r="L153" s="2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28"/>
      <c r="J154" s="28"/>
      <c r="K154" s="5"/>
      <c r="L154" s="2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28"/>
      <c r="J155" s="28"/>
      <c r="K155" s="5"/>
      <c r="L155" s="28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28"/>
      <c r="J156" s="28"/>
      <c r="K156" s="5"/>
      <c r="L156" s="2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28"/>
      <c r="J157" s="28"/>
      <c r="K157" s="5"/>
      <c r="L157" s="2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28"/>
      <c r="J158" s="28"/>
      <c r="K158" s="5"/>
      <c r="L158" s="2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28"/>
      <c r="J159" s="28"/>
      <c r="K159" s="5"/>
      <c r="L159" s="28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28"/>
      <c r="J160" s="28"/>
      <c r="K160" s="5"/>
      <c r="L160" s="2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28"/>
      <c r="J161" s="28"/>
      <c r="K161" s="5"/>
      <c r="L161" s="28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28"/>
      <c r="J162" s="28"/>
      <c r="K162" s="5"/>
      <c r="L162" s="2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28"/>
      <c r="J163" s="28"/>
      <c r="K163" s="5"/>
      <c r="L163" s="28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28"/>
      <c r="J164" s="28"/>
      <c r="K164" s="5"/>
      <c r="L164" s="2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28"/>
      <c r="J165" s="28"/>
      <c r="K165" s="5"/>
      <c r="L165" s="2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28"/>
      <c r="J166" s="28"/>
      <c r="K166" s="5"/>
      <c r="L166" s="2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28"/>
      <c r="J167" s="28"/>
      <c r="K167" s="5"/>
      <c r="L167" s="28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28"/>
      <c r="J168" s="28"/>
      <c r="K168" s="5"/>
      <c r="L168" s="2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28"/>
      <c r="J169" s="28"/>
      <c r="K169" s="5"/>
      <c r="L169" s="28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28"/>
      <c r="J170" s="28"/>
      <c r="K170" s="5"/>
      <c r="L170" s="2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28"/>
      <c r="J171" s="28"/>
      <c r="K171" s="5"/>
      <c r="L171" s="28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28"/>
      <c r="J172" s="28"/>
      <c r="K172" s="5"/>
      <c r="L172" s="2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28"/>
      <c r="J173" s="28"/>
      <c r="K173" s="5"/>
      <c r="L173" s="28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28"/>
      <c r="J174" s="28"/>
      <c r="K174" s="5"/>
      <c r="L174" s="2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28"/>
      <c r="J175" s="28"/>
      <c r="K175" s="5"/>
      <c r="L175" s="2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28"/>
      <c r="J176" s="28"/>
      <c r="K176" s="5"/>
      <c r="L176" s="2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28"/>
      <c r="J177" s="28"/>
      <c r="K177" s="5"/>
      <c r="L177" s="28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28"/>
      <c r="J178" s="28"/>
      <c r="K178" s="5"/>
      <c r="L178" s="2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28"/>
      <c r="J179" s="28"/>
      <c r="K179" s="5"/>
      <c r="L179" s="2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28"/>
      <c r="J180" s="28"/>
      <c r="K180" s="5"/>
      <c r="L180" s="2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28"/>
      <c r="J181" s="28"/>
      <c r="K181" s="5"/>
      <c r="L181" s="2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28"/>
      <c r="J182" s="28"/>
      <c r="K182" s="5"/>
      <c r="L182" s="2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28"/>
      <c r="J183" s="28"/>
      <c r="K183" s="5"/>
      <c r="L183" s="2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28"/>
      <c r="J184" s="28"/>
      <c r="K184" s="5"/>
      <c r="L184" s="2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28"/>
      <c r="J185" s="28"/>
      <c r="K185" s="5"/>
      <c r="L185" s="28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28"/>
      <c r="J186" s="28"/>
      <c r="K186" s="5"/>
      <c r="L186" s="2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28"/>
      <c r="J187" s="28"/>
      <c r="K187" s="5"/>
      <c r="L187" s="28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28"/>
      <c r="J188" s="28"/>
      <c r="K188" s="5"/>
      <c r="L188" s="2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28"/>
      <c r="J189" s="28"/>
      <c r="K189" s="5"/>
      <c r="L189" s="28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28"/>
      <c r="J190" s="28"/>
      <c r="K190" s="5"/>
      <c r="L190" s="2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28"/>
      <c r="J191" s="28"/>
      <c r="K191" s="5"/>
      <c r="L191" s="28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28"/>
      <c r="J192" s="28"/>
      <c r="K192" s="5"/>
      <c r="L192" s="2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28"/>
      <c r="J193" s="28"/>
      <c r="K193" s="5"/>
      <c r="L193" s="28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28"/>
      <c r="J194" s="28"/>
      <c r="K194" s="5"/>
      <c r="L194" s="2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28"/>
      <c r="J195" s="28"/>
      <c r="K195" s="5"/>
      <c r="L195" s="28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28"/>
      <c r="J196" s="28"/>
      <c r="K196" s="5"/>
      <c r="L196" s="2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28"/>
      <c r="J197" s="28"/>
      <c r="K197" s="5"/>
      <c r="L197" s="28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28"/>
      <c r="J198" s="28"/>
      <c r="K198" s="5"/>
      <c r="L198" s="2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28"/>
      <c r="J199" s="28"/>
      <c r="K199" s="5"/>
      <c r="L199" s="28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28"/>
      <c r="J200" s="28"/>
      <c r="K200" s="5"/>
      <c r="L200" s="2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28"/>
      <c r="J201" s="28"/>
      <c r="K201" s="5"/>
      <c r="L201" s="2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28"/>
      <c r="J202" s="28"/>
      <c r="K202" s="5"/>
      <c r="L202" s="2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28"/>
      <c r="J203" s="28"/>
      <c r="K203" s="5"/>
      <c r="L203" s="28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28"/>
      <c r="J204" s="28"/>
      <c r="K204" s="5"/>
      <c r="L204" s="2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28"/>
      <c r="J205" s="28"/>
      <c r="K205" s="5"/>
      <c r="L205" s="28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28"/>
      <c r="J206" s="28"/>
      <c r="K206" s="5"/>
      <c r="L206" s="2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28"/>
      <c r="J207" s="28"/>
      <c r="K207" s="5"/>
      <c r="L207" s="28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28"/>
      <c r="J208" s="28"/>
      <c r="K208" s="5"/>
      <c r="L208" s="2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28"/>
      <c r="J209" s="28"/>
      <c r="K209" s="5"/>
      <c r="L209" s="28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28"/>
      <c r="J210" s="28"/>
      <c r="K210" s="5"/>
      <c r="L210" s="2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28"/>
      <c r="J211" s="28"/>
      <c r="K211" s="5"/>
      <c r="L211" s="28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28"/>
      <c r="J212" s="28"/>
      <c r="K212" s="5"/>
      <c r="L212" s="2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28"/>
      <c r="J213" s="28"/>
      <c r="K213" s="5"/>
      <c r="L213" s="28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28"/>
      <c r="J214" s="28"/>
      <c r="K214" s="5"/>
      <c r="L214" s="2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28"/>
      <c r="J215" s="28"/>
      <c r="K215" s="5"/>
      <c r="L215" s="28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28"/>
      <c r="J216" s="28"/>
      <c r="K216" s="5"/>
      <c r="L216" s="2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28"/>
      <c r="J217" s="28"/>
      <c r="K217" s="5"/>
      <c r="L217" s="28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28"/>
      <c r="J218" s="28"/>
      <c r="K218" s="5"/>
      <c r="L218" s="2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28"/>
      <c r="J219" s="28"/>
      <c r="K219" s="5"/>
      <c r="L219" s="28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28"/>
      <c r="J220" s="28"/>
      <c r="K220" s="5"/>
      <c r="L220" s="2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28"/>
      <c r="J221" s="28"/>
      <c r="K221" s="5"/>
      <c r="L221" s="28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28"/>
      <c r="J222" s="28"/>
      <c r="K222" s="5"/>
      <c r="L222" s="2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28"/>
      <c r="J223" s="28"/>
      <c r="K223" s="5"/>
      <c r="L223" s="28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28"/>
      <c r="J224" s="28"/>
      <c r="K224" s="5"/>
      <c r="L224" s="2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28"/>
      <c r="J225" s="28"/>
      <c r="K225" s="5"/>
      <c r="L225" s="28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28"/>
      <c r="J226" s="28"/>
      <c r="K226" s="5"/>
      <c r="L226" s="2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28"/>
      <c r="J227" s="28"/>
      <c r="K227" s="5"/>
      <c r="L227" s="28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28"/>
      <c r="J228" s="28"/>
      <c r="K228" s="5"/>
      <c r="L228" s="2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28"/>
      <c r="J229" s="28"/>
      <c r="K229" s="5"/>
      <c r="L229" s="28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28"/>
      <c r="J230" s="28"/>
      <c r="K230" s="5"/>
      <c r="L230" s="2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28"/>
      <c r="J231" s="28"/>
      <c r="K231" s="5"/>
      <c r="L231" s="28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28"/>
      <c r="J232" s="28"/>
      <c r="K232" s="5"/>
      <c r="L232" s="2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28"/>
      <c r="J233" s="28"/>
      <c r="K233" s="5"/>
      <c r="L233" s="28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28"/>
      <c r="J234" s="28"/>
      <c r="K234" s="5"/>
      <c r="L234" s="2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28"/>
      <c r="J235" s="28"/>
      <c r="K235" s="5"/>
      <c r="L235" s="28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28"/>
      <c r="J236" s="28"/>
      <c r="K236" s="5"/>
      <c r="L236" s="2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28"/>
      <c r="J237" s="28"/>
      <c r="K237" s="5"/>
      <c r="L237" s="2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28"/>
      <c r="J238" s="28"/>
      <c r="K238" s="5"/>
      <c r="L238" s="2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28"/>
      <c r="J239" s="28"/>
      <c r="K239" s="5"/>
      <c r="L239" s="2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28"/>
      <c r="J240" s="28"/>
      <c r="K240" s="5"/>
      <c r="L240" s="2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28"/>
      <c r="J241" s="28"/>
      <c r="K241" s="5"/>
      <c r="L241" s="28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28"/>
      <c r="J242" s="28"/>
      <c r="K242" s="5"/>
      <c r="L242" s="2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28"/>
      <c r="J243" s="28"/>
      <c r="K243" s="5"/>
      <c r="L243" s="28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28"/>
      <c r="J244" s="28"/>
      <c r="K244" s="5"/>
      <c r="L244" s="2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28"/>
      <c r="J245" s="28"/>
      <c r="K245" s="5"/>
      <c r="L245" s="28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28"/>
      <c r="J246" s="28"/>
      <c r="K246" s="5"/>
      <c r="L246" s="2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28"/>
      <c r="J247" s="28"/>
      <c r="K247" s="5"/>
      <c r="L247" s="28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28"/>
      <c r="J248" s="28"/>
      <c r="K248" s="5"/>
      <c r="L248" s="2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28"/>
      <c r="J249" s="28"/>
      <c r="K249" s="5"/>
      <c r="L249" s="2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28"/>
      <c r="J250" s="28"/>
      <c r="K250" s="5"/>
      <c r="L250" s="2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28"/>
      <c r="J251" s="28"/>
      <c r="K251" s="5"/>
      <c r="L251" s="2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28"/>
      <c r="J252" s="28"/>
      <c r="K252" s="5"/>
      <c r="L252" s="2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28"/>
      <c r="J253" s="28"/>
      <c r="K253" s="5"/>
      <c r="L253" s="28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28"/>
      <c r="J254" s="28"/>
      <c r="K254" s="5"/>
      <c r="L254" s="2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28"/>
      <c r="J255" s="28"/>
      <c r="K255" s="5"/>
      <c r="L255" s="28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28"/>
      <c r="J256" s="28"/>
      <c r="K256" s="5"/>
      <c r="L256" s="2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28"/>
      <c r="J257" s="28"/>
      <c r="K257" s="5"/>
      <c r="L257" s="28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28"/>
      <c r="J258" s="28"/>
      <c r="K258" s="5"/>
      <c r="L258" s="2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28"/>
      <c r="J259" s="28"/>
      <c r="K259" s="5"/>
      <c r="L259" s="28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28"/>
      <c r="J260" s="28"/>
      <c r="K260" s="5"/>
      <c r="L260" s="2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28"/>
      <c r="J261" s="28"/>
      <c r="K261" s="5"/>
      <c r="L261" s="28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28"/>
      <c r="J262" s="28"/>
      <c r="K262" s="5"/>
      <c r="L262" s="2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28"/>
      <c r="J263" s="28"/>
      <c r="K263" s="5"/>
      <c r="L263" s="28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28"/>
      <c r="J264" s="28"/>
      <c r="K264" s="5"/>
      <c r="L264" s="2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28"/>
      <c r="J265" s="28"/>
      <c r="K265" s="5"/>
      <c r="L265" s="28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28"/>
      <c r="J266" s="28"/>
      <c r="K266" s="5"/>
      <c r="L266" s="2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28"/>
      <c r="J267" s="28"/>
      <c r="K267" s="5"/>
      <c r="L267" s="28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28"/>
      <c r="J268" s="28"/>
      <c r="K268" s="5"/>
      <c r="L268" s="2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28"/>
      <c r="J269" s="28"/>
      <c r="K269" s="5"/>
      <c r="L269" s="28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28"/>
      <c r="J270" s="28"/>
      <c r="K270" s="5"/>
      <c r="L270" s="2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28"/>
      <c r="J271" s="28"/>
      <c r="K271" s="5"/>
      <c r="L271" s="28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28"/>
      <c r="J272" s="28"/>
      <c r="K272" s="5"/>
      <c r="L272" s="2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28"/>
      <c r="J273" s="28"/>
      <c r="K273" s="5"/>
      <c r="L273" s="28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28"/>
      <c r="J274" s="28"/>
      <c r="K274" s="5"/>
      <c r="L274" s="2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28"/>
      <c r="J275" s="28"/>
      <c r="K275" s="5"/>
      <c r="L275" s="28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28"/>
      <c r="J276" s="28"/>
      <c r="K276" s="5"/>
      <c r="L276" s="2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28"/>
      <c r="J277" s="28"/>
      <c r="K277" s="5"/>
      <c r="L277" s="28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28"/>
      <c r="J278" s="28"/>
      <c r="K278" s="5"/>
      <c r="L278" s="2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28"/>
      <c r="J279" s="28"/>
      <c r="K279" s="5"/>
      <c r="L279" s="28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28"/>
      <c r="J280" s="28"/>
      <c r="K280" s="5"/>
      <c r="L280" s="2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28"/>
      <c r="J281" s="28"/>
      <c r="K281" s="5"/>
      <c r="L281" s="28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28"/>
      <c r="J282" s="28"/>
      <c r="K282" s="5"/>
      <c r="L282" s="2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28"/>
      <c r="J283" s="28"/>
      <c r="K283" s="5"/>
      <c r="L283" s="28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28"/>
      <c r="J284" s="28"/>
      <c r="K284" s="5"/>
      <c r="L284" s="2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28"/>
      <c r="J285" s="28"/>
      <c r="K285" s="5"/>
      <c r="L285" s="28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28"/>
      <c r="J286" s="28"/>
      <c r="K286" s="5"/>
      <c r="L286" s="2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28"/>
      <c r="J287" s="28"/>
      <c r="K287" s="5"/>
      <c r="L287" s="28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28"/>
      <c r="J288" s="28"/>
      <c r="K288" s="5"/>
      <c r="L288" s="2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28"/>
      <c r="J289" s="28"/>
      <c r="K289" s="5"/>
      <c r="L289" s="28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28"/>
      <c r="J290" s="28"/>
      <c r="K290" s="5"/>
      <c r="L290" s="2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28"/>
      <c r="J291" s="28"/>
      <c r="K291" s="5"/>
      <c r="L291" s="28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28"/>
      <c r="J292" s="28"/>
      <c r="K292" s="5"/>
      <c r="L292" s="2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28"/>
      <c r="J293" s="28"/>
      <c r="K293" s="5"/>
      <c r="L293" s="28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28"/>
      <c r="J294" s="28"/>
      <c r="K294" s="5"/>
      <c r="L294" s="2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28"/>
      <c r="J295" s="28"/>
      <c r="K295" s="5"/>
      <c r="L295" s="28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28"/>
      <c r="J296" s="28"/>
      <c r="K296" s="5"/>
      <c r="L296" s="2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28"/>
      <c r="J297" s="28"/>
      <c r="K297" s="5"/>
      <c r="L297" s="28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28"/>
      <c r="J298" s="28"/>
      <c r="K298" s="5"/>
      <c r="L298" s="2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28"/>
      <c r="J299" s="28"/>
      <c r="K299" s="5"/>
      <c r="L299" s="28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28"/>
      <c r="J300" s="28"/>
      <c r="K300" s="5"/>
      <c r="L300" s="2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28"/>
      <c r="J301" s="28"/>
      <c r="K301" s="5"/>
      <c r="L301" s="28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28"/>
      <c r="J302" s="28"/>
      <c r="K302" s="5"/>
      <c r="L302" s="2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28"/>
      <c r="J303" s="28"/>
      <c r="K303" s="5"/>
      <c r="L303" s="28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28"/>
      <c r="J304" s="28"/>
      <c r="K304" s="5"/>
      <c r="L304" s="2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28"/>
      <c r="J305" s="28"/>
      <c r="K305" s="5"/>
      <c r="L305" s="28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28"/>
      <c r="J306" s="28"/>
      <c r="K306" s="5"/>
      <c r="L306" s="2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28"/>
      <c r="J307" s="28"/>
      <c r="K307" s="5"/>
      <c r="L307" s="28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28"/>
      <c r="J308" s="28"/>
      <c r="K308" s="5"/>
      <c r="L308" s="2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28"/>
      <c r="J309" s="28"/>
      <c r="K309" s="5"/>
      <c r="L309" s="28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28"/>
      <c r="J310" s="28"/>
      <c r="K310" s="5"/>
      <c r="L310" s="2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28"/>
      <c r="J311" s="28"/>
      <c r="K311" s="5"/>
      <c r="L311" s="28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28"/>
      <c r="J312" s="28"/>
      <c r="K312" s="5"/>
      <c r="L312" s="2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28"/>
      <c r="J313" s="28"/>
      <c r="K313" s="5"/>
      <c r="L313" s="28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28"/>
      <c r="J314" s="28"/>
      <c r="K314" s="5"/>
      <c r="L314" s="2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28"/>
      <c r="J315" s="28"/>
      <c r="K315" s="5"/>
      <c r="L315" s="28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28"/>
      <c r="J316" s="28"/>
      <c r="K316" s="5"/>
      <c r="L316" s="2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28"/>
      <c r="J317" s="28"/>
      <c r="K317" s="5"/>
      <c r="L317" s="28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28"/>
      <c r="J318" s="28"/>
      <c r="K318" s="5"/>
      <c r="L318" s="2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28"/>
      <c r="J319" s="28"/>
      <c r="K319" s="5"/>
      <c r="L319" s="28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28"/>
      <c r="J320" s="28"/>
      <c r="K320" s="5"/>
      <c r="L320" s="2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28"/>
      <c r="J321" s="28"/>
      <c r="K321" s="5"/>
      <c r="L321" s="28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28"/>
      <c r="J322" s="28"/>
      <c r="K322" s="5"/>
      <c r="L322" s="2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28"/>
      <c r="J323" s="28"/>
      <c r="K323" s="5"/>
      <c r="L323" s="28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28"/>
      <c r="J324" s="28"/>
      <c r="K324" s="5"/>
      <c r="L324" s="2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28"/>
      <c r="J325" s="28"/>
      <c r="K325" s="5"/>
      <c r="L325" s="28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28"/>
      <c r="J326" s="28"/>
      <c r="K326" s="5"/>
      <c r="L326" s="2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28"/>
      <c r="J327" s="28"/>
      <c r="K327" s="5"/>
      <c r="L327" s="28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28"/>
      <c r="J328" s="28"/>
      <c r="K328" s="5"/>
      <c r="L328" s="2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28"/>
      <c r="J329" s="28"/>
      <c r="K329" s="5"/>
      <c r="L329" s="28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28"/>
      <c r="J330" s="28"/>
      <c r="K330" s="5"/>
      <c r="L330" s="2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28"/>
      <c r="J331" s="28"/>
      <c r="K331" s="5"/>
      <c r="L331" s="28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28"/>
      <c r="J332" s="28"/>
      <c r="K332" s="5"/>
      <c r="L332" s="2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28"/>
      <c r="J333" s="28"/>
      <c r="K333" s="5"/>
      <c r="L333" s="28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28"/>
      <c r="J334" s="28"/>
      <c r="K334" s="5"/>
      <c r="L334" s="2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28"/>
      <c r="J335" s="28"/>
      <c r="K335" s="5"/>
      <c r="L335" s="28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28"/>
      <c r="J336" s="28"/>
      <c r="K336" s="5"/>
      <c r="L336" s="2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28"/>
      <c r="J337" s="28"/>
      <c r="K337" s="5"/>
      <c r="L337" s="28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28"/>
      <c r="J338" s="28"/>
      <c r="K338" s="5"/>
      <c r="L338" s="2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28"/>
      <c r="J339" s="28"/>
      <c r="K339" s="5"/>
      <c r="L339" s="28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28"/>
      <c r="J340" s="28"/>
      <c r="K340" s="5"/>
      <c r="L340" s="2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28"/>
      <c r="J341" s="28"/>
      <c r="K341" s="5"/>
      <c r="L341" s="28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28"/>
      <c r="J342" s="28"/>
      <c r="K342" s="5"/>
      <c r="L342" s="2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28"/>
      <c r="J343" s="28"/>
      <c r="K343" s="5"/>
      <c r="L343" s="28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28"/>
      <c r="J344" s="28"/>
      <c r="K344" s="5"/>
      <c r="L344" s="2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28"/>
      <c r="J345" s="28"/>
      <c r="K345" s="5"/>
      <c r="L345" s="28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28"/>
      <c r="J346" s="28"/>
      <c r="K346" s="5"/>
      <c r="L346" s="2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28"/>
      <c r="J347" s="28"/>
      <c r="K347" s="5"/>
      <c r="L347" s="28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28"/>
      <c r="J348" s="28"/>
      <c r="K348" s="5"/>
      <c r="L348" s="2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28"/>
      <c r="J349" s="28"/>
      <c r="K349" s="5"/>
      <c r="L349" s="28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28"/>
      <c r="J350" s="28"/>
      <c r="K350" s="5"/>
      <c r="L350" s="2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28"/>
      <c r="J351" s="28"/>
      <c r="K351" s="5"/>
      <c r="L351" s="28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28"/>
      <c r="J352" s="28"/>
      <c r="K352" s="5"/>
      <c r="L352" s="2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28"/>
      <c r="J353" s="28"/>
      <c r="K353" s="5"/>
      <c r="L353" s="28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28"/>
      <c r="J354" s="28"/>
      <c r="K354" s="5"/>
      <c r="L354" s="2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28"/>
      <c r="J355" s="28"/>
      <c r="K355" s="5"/>
      <c r="L355" s="28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28"/>
      <c r="J356" s="28"/>
      <c r="K356" s="5"/>
      <c r="L356" s="2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28"/>
      <c r="J357" s="28"/>
      <c r="K357" s="5"/>
      <c r="L357" s="28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28"/>
      <c r="J358" s="28"/>
      <c r="K358" s="5"/>
      <c r="L358" s="2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28"/>
      <c r="J359" s="28"/>
      <c r="K359" s="5"/>
      <c r="L359" s="28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28"/>
      <c r="J360" s="28"/>
      <c r="K360" s="5"/>
      <c r="L360" s="2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28"/>
      <c r="J361" s="28"/>
      <c r="K361" s="5"/>
      <c r="L361" s="28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28"/>
      <c r="J362" s="28"/>
      <c r="K362" s="5"/>
      <c r="L362" s="2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28"/>
      <c r="J363" s="28"/>
      <c r="K363" s="5"/>
      <c r="L363" s="28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28"/>
      <c r="J364" s="28"/>
      <c r="K364" s="5"/>
      <c r="L364" s="2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28"/>
      <c r="J365" s="28"/>
      <c r="K365" s="5"/>
      <c r="L365" s="28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28"/>
      <c r="J366" s="28"/>
      <c r="K366" s="5"/>
      <c r="L366" s="2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28"/>
      <c r="J367" s="28"/>
      <c r="K367" s="5"/>
      <c r="L367" s="28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28"/>
      <c r="J368" s="28"/>
      <c r="K368" s="5"/>
      <c r="L368" s="2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28"/>
      <c r="J369" s="28"/>
      <c r="K369" s="5"/>
      <c r="L369" s="28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28"/>
      <c r="J370" s="28"/>
      <c r="K370" s="5"/>
      <c r="L370" s="2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28"/>
      <c r="J371" s="28"/>
      <c r="K371" s="5"/>
      <c r="L371" s="28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28"/>
      <c r="J372" s="28"/>
      <c r="K372" s="5"/>
      <c r="L372" s="2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28"/>
      <c r="J373" s="28"/>
      <c r="K373" s="5"/>
      <c r="L373" s="28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28"/>
      <c r="J374" s="28"/>
      <c r="K374" s="5"/>
      <c r="L374" s="2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28"/>
      <c r="J375" s="28"/>
      <c r="K375" s="5"/>
      <c r="L375" s="28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28"/>
      <c r="J376" s="28"/>
      <c r="K376" s="5"/>
      <c r="L376" s="2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28"/>
      <c r="J377" s="28"/>
      <c r="K377" s="5"/>
      <c r="L377" s="28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28"/>
      <c r="J378" s="28"/>
      <c r="K378" s="5"/>
      <c r="L378" s="2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28"/>
      <c r="J379" s="28"/>
      <c r="K379" s="5"/>
      <c r="L379" s="28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28"/>
      <c r="J380" s="28"/>
      <c r="K380" s="5"/>
      <c r="L380" s="2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28"/>
      <c r="J381" s="28"/>
      <c r="K381" s="5"/>
      <c r="L381" s="28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28"/>
      <c r="J382" s="28"/>
      <c r="K382" s="5"/>
      <c r="L382" s="2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28"/>
      <c r="J383" s="28"/>
      <c r="K383" s="5"/>
      <c r="L383" s="28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28"/>
      <c r="J384" s="28"/>
      <c r="K384" s="5"/>
      <c r="L384" s="2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28"/>
      <c r="J385" s="28"/>
      <c r="K385" s="5"/>
      <c r="L385" s="28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28"/>
      <c r="J386" s="28"/>
      <c r="K386" s="5"/>
      <c r="L386" s="2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28"/>
      <c r="J387" s="28"/>
      <c r="K387" s="5"/>
      <c r="L387" s="28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28"/>
      <c r="J388" s="28"/>
      <c r="K388" s="5"/>
      <c r="L388" s="2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28"/>
      <c r="J389" s="28"/>
      <c r="K389" s="5"/>
      <c r="L389" s="28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28"/>
      <c r="J390" s="28"/>
      <c r="K390" s="5"/>
      <c r="L390" s="2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28"/>
      <c r="J391" s="28"/>
      <c r="K391" s="5"/>
      <c r="L391" s="28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28"/>
      <c r="J392" s="28"/>
      <c r="K392" s="5"/>
      <c r="L392" s="2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28"/>
      <c r="J393" s="28"/>
      <c r="K393" s="5"/>
      <c r="L393" s="28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28"/>
      <c r="J394" s="28"/>
      <c r="K394" s="5"/>
      <c r="L394" s="2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28"/>
      <c r="J395" s="28"/>
      <c r="K395" s="5"/>
      <c r="L395" s="28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28"/>
      <c r="J396" s="28"/>
      <c r="K396" s="5"/>
      <c r="L396" s="2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28"/>
      <c r="J397" s="28"/>
      <c r="K397" s="5"/>
      <c r="L397" s="28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28"/>
      <c r="J398" s="28"/>
      <c r="K398" s="5"/>
      <c r="L398" s="2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28"/>
      <c r="J399" s="28"/>
      <c r="K399" s="5"/>
      <c r="L399" s="28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28"/>
      <c r="J400" s="28"/>
      <c r="K400" s="5"/>
      <c r="L400" s="2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28"/>
      <c r="J401" s="28"/>
      <c r="K401" s="5"/>
      <c r="L401" s="28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28"/>
      <c r="J402" s="28"/>
      <c r="K402" s="5"/>
      <c r="L402" s="2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28"/>
      <c r="J403" s="28"/>
      <c r="K403" s="5"/>
      <c r="L403" s="28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28"/>
      <c r="J404" s="28"/>
      <c r="K404" s="5"/>
      <c r="L404" s="2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28"/>
      <c r="J405" s="28"/>
      <c r="K405" s="5"/>
      <c r="L405" s="28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28"/>
      <c r="J406" s="28"/>
      <c r="K406" s="5"/>
      <c r="L406" s="2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28"/>
      <c r="J407" s="28"/>
      <c r="K407" s="5"/>
      <c r="L407" s="28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28"/>
      <c r="J408" s="28"/>
      <c r="K408" s="5"/>
      <c r="L408" s="2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28"/>
      <c r="J409" s="28"/>
      <c r="K409" s="5"/>
      <c r="L409" s="28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28"/>
      <c r="J410" s="28"/>
      <c r="K410" s="5"/>
      <c r="L410" s="2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28"/>
      <c r="J411" s="28"/>
      <c r="K411" s="5"/>
      <c r="L411" s="28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28"/>
      <c r="J412" s="28"/>
      <c r="K412" s="5"/>
      <c r="L412" s="2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28"/>
      <c r="J413" s="28"/>
      <c r="K413" s="5"/>
      <c r="L413" s="28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28"/>
      <c r="J414" s="28"/>
      <c r="K414" s="5"/>
      <c r="L414" s="2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28"/>
      <c r="J415" s="28"/>
      <c r="K415" s="5"/>
      <c r="L415" s="28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28"/>
      <c r="J416" s="28"/>
      <c r="K416" s="5"/>
      <c r="L416" s="2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28"/>
      <c r="J417" s="28"/>
      <c r="K417" s="5"/>
      <c r="L417" s="28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28"/>
      <c r="J418" s="28"/>
      <c r="K418" s="5"/>
      <c r="L418" s="2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28"/>
      <c r="J419" s="28"/>
      <c r="K419" s="5"/>
      <c r="L419" s="28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28"/>
      <c r="J420" s="28"/>
      <c r="K420" s="5"/>
      <c r="L420" s="2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28"/>
      <c r="J421" s="28"/>
      <c r="K421" s="5"/>
      <c r="L421" s="28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28"/>
      <c r="J422" s="28"/>
      <c r="K422" s="5"/>
      <c r="L422" s="2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28"/>
      <c r="J423" s="28"/>
      <c r="K423" s="5"/>
      <c r="L423" s="28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28"/>
      <c r="J424" s="28"/>
      <c r="K424" s="5"/>
      <c r="L424" s="2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28"/>
      <c r="J425" s="28"/>
      <c r="K425" s="5"/>
      <c r="L425" s="28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28"/>
      <c r="J426" s="28"/>
      <c r="K426" s="5"/>
      <c r="L426" s="2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28"/>
      <c r="J427" s="28"/>
      <c r="K427" s="5"/>
      <c r="L427" s="28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28"/>
      <c r="J428" s="28"/>
      <c r="K428" s="5"/>
      <c r="L428" s="2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28"/>
      <c r="J429" s="28"/>
      <c r="K429" s="5"/>
      <c r="L429" s="28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28"/>
      <c r="J430" s="28"/>
      <c r="K430" s="5"/>
      <c r="L430" s="2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28"/>
      <c r="J431" s="28"/>
      <c r="K431" s="5"/>
      <c r="L431" s="28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28"/>
      <c r="J432" s="28"/>
      <c r="K432" s="5"/>
      <c r="L432" s="2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28"/>
      <c r="J433" s="28"/>
      <c r="K433" s="5"/>
      <c r="L433" s="28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28"/>
      <c r="J434" s="28"/>
      <c r="K434" s="5"/>
      <c r="L434" s="2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28"/>
      <c r="J435" s="28"/>
      <c r="K435" s="5"/>
      <c r="L435" s="28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28"/>
      <c r="J436" s="28"/>
      <c r="K436" s="5"/>
      <c r="L436" s="2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28"/>
      <c r="J437" s="28"/>
      <c r="K437" s="5"/>
      <c r="L437" s="28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28"/>
      <c r="J438" s="28"/>
      <c r="K438" s="5"/>
      <c r="L438" s="2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28"/>
      <c r="J439" s="28"/>
      <c r="K439" s="5"/>
      <c r="L439" s="28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28"/>
      <c r="J440" s="28"/>
      <c r="K440" s="5"/>
      <c r="L440" s="2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28"/>
      <c r="J441" s="28"/>
      <c r="K441" s="5"/>
      <c r="L441" s="28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28"/>
      <c r="J442" s="28"/>
      <c r="K442" s="5"/>
      <c r="L442" s="2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28"/>
      <c r="J443" s="28"/>
      <c r="K443" s="5"/>
      <c r="L443" s="28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28"/>
      <c r="J444" s="28"/>
      <c r="K444" s="5"/>
      <c r="L444" s="2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28"/>
      <c r="J445" s="28"/>
      <c r="K445" s="5"/>
      <c r="L445" s="28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28"/>
      <c r="J446" s="28"/>
      <c r="K446" s="5"/>
      <c r="L446" s="2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28"/>
      <c r="J447" s="28"/>
      <c r="K447" s="5"/>
      <c r="L447" s="28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28"/>
      <c r="J448" s="28"/>
      <c r="K448" s="5"/>
      <c r="L448" s="2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28"/>
      <c r="J449" s="28"/>
      <c r="K449" s="5"/>
      <c r="L449" s="28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28"/>
      <c r="J450" s="28"/>
      <c r="K450" s="5"/>
      <c r="L450" s="2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28"/>
      <c r="J451" s="28"/>
      <c r="K451" s="5"/>
      <c r="L451" s="28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28"/>
      <c r="J452" s="28"/>
      <c r="K452" s="5"/>
      <c r="L452" s="2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28"/>
      <c r="J453" s="28"/>
      <c r="K453" s="5"/>
      <c r="L453" s="28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28"/>
      <c r="J454" s="28"/>
      <c r="K454" s="5"/>
      <c r="L454" s="2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28"/>
      <c r="J455" s="28"/>
      <c r="K455" s="5"/>
      <c r="L455" s="28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28"/>
      <c r="J456" s="28"/>
      <c r="K456" s="5"/>
      <c r="L456" s="2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28"/>
      <c r="J457" s="28"/>
      <c r="K457" s="5"/>
      <c r="L457" s="28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28"/>
      <c r="J458" s="28"/>
      <c r="K458" s="5"/>
      <c r="L458" s="2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28"/>
      <c r="J459" s="28"/>
      <c r="K459" s="5"/>
      <c r="L459" s="28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28"/>
      <c r="J460" s="28"/>
      <c r="K460" s="5"/>
      <c r="L460" s="2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28"/>
      <c r="J461" s="28"/>
      <c r="K461" s="5"/>
      <c r="L461" s="28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28"/>
      <c r="J462" s="28"/>
      <c r="K462" s="5"/>
      <c r="L462" s="2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28"/>
      <c r="J463" s="28"/>
      <c r="K463" s="5"/>
      <c r="L463" s="28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28"/>
      <c r="J464" s="28"/>
      <c r="K464" s="5"/>
      <c r="L464" s="2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28"/>
      <c r="J465" s="28"/>
      <c r="K465" s="5"/>
      <c r="L465" s="28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28"/>
      <c r="J466" s="28"/>
      <c r="K466" s="5"/>
      <c r="L466" s="2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28"/>
      <c r="J467" s="28"/>
      <c r="K467" s="5"/>
      <c r="L467" s="28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28"/>
      <c r="J468" s="28"/>
      <c r="K468" s="5"/>
      <c r="L468" s="2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28"/>
      <c r="J469" s="28"/>
      <c r="K469" s="5"/>
      <c r="L469" s="28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28"/>
      <c r="J470" s="28"/>
      <c r="K470" s="5"/>
      <c r="L470" s="2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28"/>
      <c r="J471" s="28"/>
      <c r="K471" s="5"/>
      <c r="L471" s="28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28"/>
      <c r="J472" s="28"/>
      <c r="K472" s="5"/>
      <c r="L472" s="2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28"/>
      <c r="J473" s="28"/>
      <c r="K473" s="5"/>
      <c r="L473" s="28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28"/>
      <c r="J474" s="28"/>
      <c r="K474" s="5"/>
      <c r="L474" s="2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28"/>
      <c r="J475" s="28"/>
      <c r="K475" s="5"/>
      <c r="L475" s="28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28"/>
      <c r="J476" s="28"/>
      <c r="K476" s="5"/>
      <c r="L476" s="2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28"/>
      <c r="J477" s="28"/>
      <c r="K477" s="5"/>
      <c r="L477" s="28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28"/>
      <c r="J478" s="28"/>
      <c r="K478" s="5"/>
      <c r="L478" s="2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28"/>
      <c r="J479" s="28"/>
      <c r="K479" s="5"/>
      <c r="L479" s="28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28"/>
      <c r="J480" s="28"/>
      <c r="K480" s="5"/>
      <c r="L480" s="2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28"/>
      <c r="J481" s="28"/>
      <c r="K481" s="5"/>
      <c r="L481" s="28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28"/>
      <c r="J482" s="28"/>
      <c r="K482" s="5"/>
      <c r="L482" s="2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28"/>
      <c r="J483" s="28"/>
      <c r="K483" s="5"/>
      <c r="L483" s="28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28"/>
      <c r="J484" s="28"/>
      <c r="K484" s="5"/>
      <c r="L484" s="2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28"/>
      <c r="J485" s="28"/>
      <c r="K485" s="5"/>
      <c r="L485" s="28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28"/>
      <c r="J486" s="28"/>
      <c r="K486" s="5"/>
      <c r="L486" s="2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28"/>
      <c r="J487" s="28"/>
      <c r="K487" s="5"/>
      <c r="L487" s="28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28"/>
      <c r="J488" s="28"/>
      <c r="K488" s="5"/>
      <c r="L488" s="2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28"/>
      <c r="J489" s="28"/>
      <c r="K489" s="5"/>
      <c r="L489" s="28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28"/>
      <c r="J490" s="28"/>
      <c r="K490" s="5"/>
      <c r="L490" s="2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28"/>
      <c r="J491" s="28"/>
      <c r="K491" s="5"/>
      <c r="L491" s="28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28"/>
      <c r="J492" s="28"/>
      <c r="K492" s="5"/>
      <c r="L492" s="2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28"/>
      <c r="J493" s="28"/>
      <c r="K493" s="5"/>
      <c r="L493" s="28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28"/>
      <c r="J494" s="28"/>
      <c r="K494" s="5"/>
      <c r="L494" s="2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28"/>
      <c r="J495" s="28"/>
      <c r="K495" s="5"/>
      <c r="L495" s="28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28"/>
      <c r="J496" s="28"/>
      <c r="K496" s="5"/>
      <c r="L496" s="2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28"/>
      <c r="J497" s="28"/>
      <c r="K497" s="5"/>
      <c r="L497" s="28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28"/>
      <c r="J498" s="28"/>
      <c r="K498" s="5"/>
      <c r="L498" s="2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28"/>
      <c r="J499" s="28"/>
      <c r="K499" s="5"/>
      <c r="L499" s="28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28"/>
      <c r="J500" s="28"/>
      <c r="K500" s="5"/>
      <c r="L500" s="2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28"/>
      <c r="J501" s="28"/>
      <c r="K501" s="5"/>
      <c r="L501" s="28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28"/>
      <c r="J502" s="28"/>
      <c r="K502" s="5"/>
      <c r="L502" s="2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28"/>
      <c r="J503" s="28"/>
      <c r="K503" s="5"/>
      <c r="L503" s="28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28"/>
      <c r="J504" s="28"/>
      <c r="K504" s="5"/>
      <c r="L504" s="2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28"/>
      <c r="J505" s="28"/>
      <c r="K505" s="5"/>
      <c r="L505" s="28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28"/>
      <c r="J506" s="28"/>
      <c r="K506" s="5"/>
      <c r="L506" s="2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28"/>
      <c r="J507" s="28"/>
      <c r="K507" s="5"/>
      <c r="L507" s="28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28"/>
      <c r="J508" s="28"/>
      <c r="K508" s="5"/>
      <c r="L508" s="2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28"/>
      <c r="J509" s="28"/>
      <c r="K509" s="5"/>
      <c r="L509" s="28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28"/>
      <c r="J510" s="28"/>
      <c r="K510" s="5"/>
      <c r="L510" s="2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28"/>
      <c r="J511" s="28"/>
      <c r="K511" s="5"/>
      <c r="L511" s="28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28"/>
      <c r="J512" s="28"/>
      <c r="K512" s="5"/>
      <c r="L512" s="2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28"/>
      <c r="J513" s="28"/>
      <c r="K513" s="5"/>
      <c r="L513" s="28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28"/>
      <c r="J514" s="28"/>
      <c r="K514" s="5"/>
      <c r="L514" s="2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28"/>
      <c r="J515" s="28"/>
      <c r="K515" s="5"/>
      <c r="L515" s="28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28"/>
      <c r="J516" s="28"/>
      <c r="K516" s="5"/>
      <c r="L516" s="2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28"/>
      <c r="J517" s="28"/>
      <c r="K517" s="5"/>
      <c r="L517" s="28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28"/>
      <c r="J518" s="28"/>
      <c r="K518" s="5"/>
      <c r="L518" s="2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28"/>
      <c r="J519" s="28"/>
      <c r="K519" s="5"/>
      <c r="L519" s="28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28"/>
      <c r="J520" s="28"/>
      <c r="K520" s="5"/>
      <c r="L520" s="2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28"/>
      <c r="J521" s="28"/>
      <c r="K521" s="5"/>
      <c r="L521" s="28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28"/>
      <c r="J522" s="28"/>
      <c r="K522" s="5"/>
      <c r="L522" s="2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28"/>
      <c r="J523" s="28"/>
      <c r="K523" s="5"/>
      <c r="L523" s="28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28"/>
      <c r="J524" s="28"/>
      <c r="K524" s="5"/>
      <c r="L524" s="2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28"/>
      <c r="J525" s="28"/>
      <c r="K525" s="5"/>
      <c r="L525" s="28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28"/>
      <c r="J526" s="28"/>
      <c r="K526" s="5"/>
      <c r="L526" s="2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28"/>
      <c r="J527" s="28"/>
      <c r="K527" s="5"/>
      <c r="L527" s="28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28"/>
      <c r="J528" s="28"/>
      <c r="K528" s="5"/>
      <c r="L528" s="2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28"/>
      <c r="J529" s="28"/>
      <c r="K529" s="5"/>
      <c r="L529" s="28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28"/>
      <c r="J530" s="28"/>
      <c r="K530" s="5"/>
      <c r="L530" s="2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28"/>
      <c r="J531" s="28"/>
      <c r="K531" s="5"/>
      <c r="L531" s="28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28"/>
      <c r="J532" s="28"/>
      <c r="K532" s="5"/>
      <c r="L532" s="2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28"/>
      <c r="J533" s="28"/>
      <c r="K533" s="5"/>
      <c r="L533" s="28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28"/>
      <c r="J534" s="28"/>
      <c r="K534" s="5"/>
      <c r="L534" s="2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28"/>
      <c r="J535" s="28"/>
      <c r="K535" s="5"/>
      <c r="L535" s="28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28"/>
      <c r="J536" s="28"/>
      <c r="K536" s="5"/>
      <c r="L536" s="2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28"/>
      <c r="J537" s="28"/>
      <c r="K537" s="5"/>
      <c r="L537" s="28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28"/>
      <c r="J538" s="28"/>
      <c r="K538" s="5"/>
      <c r="L538" s="2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28"/>
      <c r="J539" s="28"/>
      <c r="K539" s="5"/>
      <c r="L539" s="28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28"/>
      <c r="J540" s="28"/>
      <c r="K540" s="5"/>
      <c r="L540" s="2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28"/>
      <c r="J541" s="28"/>
      <c r="K541" s="5"/>
      <c r="L541" s="28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28"/>
      <c r="J542" s="28"/>
      <c r="K542" s="5"/>
      <c r="L542" s="2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28"/>
      <c r="J543" s="28"/>
      <c r="K543" s="5"/>
      <c r="L543" s="28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28"/>
      <c r="J544" s="28"/>
      <c r="K544" s="5"/>
      <c r="L544" s="2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28"/>
      <c r="J545" s="28"/>
      <c r="K545" s="5"/>
      <c r="L545" s="28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28"/>
      <c r="J546" s="28"/>
      <c r="K546" s="5"/>
      <c r="L546" s="2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28"/>
      <c r="J547" s="28"/>
      <c r="K547" s="5"/>
      <c r="L547" s="28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28"/>
      <c r="J548" s="28"/>
      <c r="K548" s="5"/>
      <c r="L548" s="2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28"/>
      <c r="J549" s="28"/>
      <c r="K549" s="5"/>
      <c r="L549" s="28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28"/>
      <c r="J550" s="28"/>
      <c r="K550" s="5"/>
      <c r="L550" s="2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28"/>
      <c r="J551" s="28"/>
      <c r="K551" s="5"/>
      <c r="L551" s="28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28"/>
      <c r="J552" s="28"/>
      <c r="K552" s="5"/>
      <c r="L552" s="2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28"/>
      <c r="J553" s="28"/>
      <c r="K553" s="5"/>
      <c r="L553" s="28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28"/>
      <c r="J554" s="28"/>
      <c r="K554" s="5"/>
      <c r="L554" s="2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28"/>
      <c r="J555" s="28"/>
      <c r="K555" s="5"/>
      <c r="L555" s="28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28"/>
      <c r="J556" s="28"/>
      <c r="K556" s="5"/>
      <c r="L556" s="2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28"/>
      <c r="J557" s="28"/>
      <c r="K557" s="5"/>
      <c r="L557" s="28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28"/>
      <c r="J558" s="28"/>
      <c r="K558" s="5"/>
      <c r="L558" s="2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28"/>
      <c r="J559" s="28"/>
      <c r="K559" s="5"/>
      <c r="L559" s="28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28"/>
      <c r="J560" s="28"/>
      <c r="K560" s="5"/>
      <c r="L560" s="2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28"/>
      <c r="J561" s="28"/>
      <c r="K561" s="5"/>
      <c r="L561" s="28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28"/>
      <c r="J562" s="28"/>
      <c r="K562" s="5"/>
      <c r="L562" s="2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28"/>
      <c r="J563" s="28"/>
      <c r="K563" s="5"/>
      <c r="L563" s="28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28"/>
      <c r="J564" s="28"/>
      <c r="K564" s="5"/>
      <c r="L564" s="2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28"/>
      <c r="J565" s="28"/>
      <c r="K565" s="5"/>
      <c r="L565" s="28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28"/>
      <c r="J566" s="28"/>
      <c r="K566" s="5"/>
      <c r="L566" s="2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28"/>
      <c r="J567" s="28"/>
      <c r="K567" s="5"/>
      <c r="L567" s="28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28"/>
      <c r="J568" s="28"/>
      <c r="K568" s="5"/>
      <c r="L568" s="2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28"/>
      <c r="J569" s="28"/>
      <c r="K569" s="5"/>
      <c r="L569" s="28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28"/>
      <c r="J570" s="28"/>
      <c r="K570" s="5"/>
      <c r="L570" s="2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28"/>
      <c r="J571" s="28"/>
      <c r="K571" s="5"/>
      <c r="L571" s="28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28"/>
      <c r="J572" s="28"/>
      <c r="K572" s="5"/>
      <c r="L572" s="2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28"/>
      <c r="J573" s="28"/>
      <c r="K573" s="5"/>
      <c r="L573" s="28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28"/>
      <c r="J574" s="28"/>
      <c r="K574" s="5"/>
      <c r="L574" s="2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28"/>
      <c r="J575" s="28"/>
      <c r="K575" s="5"/>
      <c r="L575" s="28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28"/>
      <c r="J576" s="28"/>
      <c r="K576" s="5"/>
      <c r="L576" s="2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28"/>
      <c r="J577" s="28"/>
      <c r="K577" s="5"/>
      <c r="L577" s="28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28"/>
      <c r="J578" s="28"/>
      <c r="K578" s="5"/>
      <c r="L578" s="2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28"/>
      <c r="J579" s="28"/>
      <c r="K579" s="5"/>
      <c r="L579" s="28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28"/>
      <c r="J580" s="28"/>
      <c r="K580" s="5"/>
      <c r="L580" s="2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28"/>
      <c r="J581" s="28"/>
      <c r="K581" s="5"/>
      <c r="L581" s="28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28"/>
      <c r="J582" s="28"/>
      <c r="K582" s="5"/>
      <c r="L582" s="2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28"/>
      <c r="J583" s="28"/>
      <c r="K583" s="5"/>
      <c r="L583" s="28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28"/>
      <c r="J584" s="28"/>
      <c r="K584" s="5"/>
      <c r="L584" s="2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28"/>
      <c r="J585" s="28"/>
      <c r="K585" s="5"/>
      <c r="L585" s="28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28"/>
      <c r="J586" s="28"/>
      <c r="K586" s="5"/>
      <c r="L586" s="2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28"/>
      <c r="J587" s="28"/>
      <c r="K587" s="5"/>
      <c r="L587" s="28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28"/>
      <c r="J588" s="28"/>
      <c r="K588" s="5"/>
      <c r="L588" s="2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28"/>
      <c r="J589" s="28"/>
      <c r="K589" s="5"/>
      <c r="L589" s="28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28"/>
      <c r="J590" s="28"/>
      <c r="K590" s="5"/>
      <c r="L590" s="2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28"/>
      <c r="J591" s="28"/>
      <c r="K591" s="5"/>
      <c r="L591" s="28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28"/>
      <c r="J592" s="28"/>
      <c r="K592" s="5"/>
      <c r="L592" s="2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28"/>
      <c r="J593" s="28"/>
      <c r="K593" s="5"/>
      <c r="L593" s="28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28"/>
      <c r="J594" s="28"/>
      <c r="K594" s="5"/>
      <c r="L594" s="2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28"/>
      <c r="J595" s="28"/>
      <c r="K595" s="5"/>
      <c r="L595" s="28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28"/>
      <c r="J596" s="28"/>
      <c r="K596" s="5"/>
      <c r="L596" s="2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28"/>
      <c r="J597" s="28"/>
      <c r="K597" s="5"/>
      <c r="L597" s="28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28"/>
      <c r="J598" s="28"/>
      <c r="K598" s="5"/>
      <c r="L598" s="2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28"/>
      <c r="J599" s="28"/>
      <c r="K599" s="5"/>
      <c r="L599" s="28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28"/>
      <c r="J600" s="28"/>
      <c r="K600" s="5"/>
      <c r="L600" s="2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28"/>
      <c r="J601" s="28"/>
      <c r="K601" s="5"/>
      <c r="L601" s="28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28"/>
      <c r="J602" s="28"/>
      <c r="K602" s="5"/>
      <c r="L602" s="2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28"/>
      <c r="J603" s="28"/>
      <c r="K603" s="5"/>
      <c r="L603" s="28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28"/>
      <c r="J604" s="28"/>
      <c r="K604" s="5"/>
      <c r="L604" s="2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28"/>
      <c r="J605" s="28"/>
      <c r="K605" s="5"/>
      <c r="L605" s="28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28"/>
      <c r="J606" s="28"/>
      <c r="K606" s="5"/>
      <c r="L606" s="2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28"/>
      <c r="J607" s="28"/>
      <c r="K607" s="5"/>
      <c r="L607" s="28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28"/>
      <c r="J608" s="28"/>
      <c r="K608" s="5"/>
      <c r="L608" s="2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28"/>
      <c r="J609" s="28"/>
      <c r="K609" s="5"/>
      <c r="L609" s="28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28"/>
      <c r="J610" s="28"/>
      <c r="K610" s="5"/>
      <c r="L610" s="2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28"/>
      <c r="J611" s="28"/>
      <c r="K611" s="5"/>
      <c r="L611" s="28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28"/>
      <c r="J612" s="28"/>
      <c r="K612" s="5"/>
      <c r="L612" s="2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28"/>
      <c r="J613" s="28"/>
      <c r="K613" s="5"/>
      <c r="L613" s="28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28"/>
      <c r="J614" s="28"/>
      <c r="K614" s="5"/>
      <c r="L614" s="2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28"/>
      <c r="J615" s="28"/>
      <c r="K615" s="5"/>
      <c r="L615" s="28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28"/>
      <c r="J616" s="28"/>
      <c r="K616" s="5"/>
      <c r="L616" s="2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28"/>
      <c r="J617" s="28"/>
      <c r="K617" s="5"/>
      <c r="L617" s="28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28"/>
      <c r="J618" s="28"/>
      <c r="K618" s="5"/>
      <c r="L618" s="2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28"/>
      <c r="J619" s="28"/>
      <c r="K619" s="5"/>
      <c r="L619" s="28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28"/>
      <c r="J620" s="28"/>
      <c r="K620" s="5"/>
      <c r="L620" s="2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28"/>
      <c r="J621" s="28"/>
      <c r="K621" s="5"/>
      <c r="L621" s="28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28"/>
      <c r="J622" s="28"/>
      <c r="K622" s="5"/>
      <c r="L622" s="2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28"/>
      <c r="J623" s="28"/>
      <c r="K623" s="5"/>
      <c r="L623" s="28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28"/>
      <c r="J624" s="28"/>
      <c r="K624" s="5"/>
      <c r="L624" s="2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28"/>
      <c r="J625" s="28"/>
      <c r="K625" s="5"/>
      <c r="L625" s="28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28"/>
      <c r="J626" s="28"/>
      <c r="K626" s="5"/>
      <c r="L626" s="2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28"/>
      <c r="J627" s="28"/>
      <c r="K627" s="5"/>
      <c r="L627" s="28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28"/>
      <c r="J628" s="28"/>
      <c r="K628" s="5"/>
      <c r="L628" s="2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28"/>
      <c r="J629" s="28"/>
      <c r="K629" s="5"/>
      <c r="L629" s="28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28"/>
      <c r="J630" s="28"/>
      <c r="K630" s="5"/>
      <c r="L630" s="2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28"/>
      <c r="J631" s="28"/>
      <c r="K631" s="5"/>
      <c r="L631" s="28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28"/>
      <c r="J632" s="28"/>
      <c r="K632" s="5"/>
      <c r="L632" s="2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28"/>
      <c r="J633" s="28"/>
      <c r="K633" s="5"/>
      <c r="L633" s="28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28"/>
      <c r="J634" s="28"/>
      <c r="K634" s="5"/>
      <c r="L634" s="2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28"/>
      <c r="J635" s="28"/>
      <c r="K635" s="5"/>
      <c r="L635" s="28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28"/>
      <c r="J636" s="28"/>
      <c r="K636" s="5"/>
      <c r="L636" s="2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28"/>
      <c r="J637" s="28"/>
      <c r="K637" s="5"/>
      <c r="L637" s="28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28"/>
      <c r="J638" s="28"/>
      <c r="K638" s="5"/>
      <c r="L638" s="2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28"/>
      <c r="J639" s="28"/>
      <c r="K639" s="5"/>
      <c r="L639" s="28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28"/>
      <c r="J640" s="28"/>
      <c r="K640" s="5"/>
      <c r="L640" s="2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28"/>
      <c r="J641" s="28"/>
      <c r="K641" s="5"/>
      <c r="L641" s="28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28"/>
      <c r="J642" s="28"/>
      <c r="K642" s="5"/>
      <c r="L642" s="2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28"/>
      <c r="J643" s="28"/>
      <c r="K643" s="5"/>
      <c r="L643" s="28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28"/>
      <c r="J644" s="28"/>
      <c r="K644" s="5"/>
      <c r="L644" s="2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28"/>
      <c r="J645" s="28"/>
      <c r="K645" s="5"/>
      <c r="L645" s="28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28"/>
      <c r="J646" s="28"/>
      <c r="K646" s="5"/>
      <c r="L646" s="2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28"/>
      <c r="J647" s="28"/>
      <c r="K647" s="5"/>
      <c r="L647" s="28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28"/>
      <c r="J648" s="28"/>
      <c r="K648" s="5"/>
      <c r="L648" s="2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28"/>
      <c r="J649" s="28"/>
      <c r="K649" s="5"/>
      <c r="L649" s="28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28"/>
      <c r="J650" s="28"/>
      <c r="K650" s="5"/>
      <c r="L650" s="2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28"/>
      <c r="J651" s="28"/>
      <c r="K651" s="5"/>
      <c r="L651" s="28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28"/>
      <c r="J652" s="28"/>
      <c r="K652" s="5"/>
      <c r="L652" s="2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28"/>
      <c r="J653" s="28"/>
      <c r="K653" s="5"/>
      <c r="L653" s="28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28"/>
      <c r="J654" s="28"/>
      <c r="K654" s="5"/>
      <c r="L654" s="2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28"/>
      <c r="J655" s="28"/>
      <c r="K655" s="5"/>
      <c r="L655" s="28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28"/>
      <c r="J656" s="28"/>
      <c r="K656" s="5"/>
      <c r="L656" s="2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28"/>
      <c r="J657" s="28"/>
      <c r="K657" s="5"/>
      <c r="L657" s="28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28"/>
      <c r="J658" s="28"/>
      <c r="K658" s="5"/>
      <c r="L658" s="2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28"/>
      <c r="J659" s="28"/>
      <c r="K659" s="5"/>
      <c r="L659" s="28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28"/>
      <c r="J660" s="28"/>
      <c r="K660" s="5"/>
      <c r="L660" s="2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28"/>
      <c r="J661" s="28"/>
      <c r="K661" s="5"/>
      <c r="L661" s="28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28"/>
      <c r="J662" s="28"/>
      <c r="K662" s="5"/>
      <c r="L662" s="2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28"/>
      <c r="J663" s="28"/>
      <c r="K663" s="5"/>
      <c r="L663" s="28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28"/>
      <c r="J664" s="28"/>
      <c r="K664" s="5"/>
      <c r="L664" s="2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28"/>
      <c r="J665" s="28"/>
      <c r="K665" s="5"/>
      <c r="L665" s="28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28"/>
      <c r="J666" s="28"/>
      <c r="K666" s="5"/>
      <c r="L666" s="2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28"/>
      <c r="J667" s="28"/>
      <c r="K667" s="5"/>
      <c r="L667" s="28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28"/>
      <c r="J668" s="28"/>
      <c r="K668" s="5"/>
      <c r="L668" s="2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28"/>
      <c r="J669" s="28"/>
      <c r="K669" s="5"/>
      <c r="L669" s="28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28"/>
      <c r="J670" s="28"/>
      <c r="K670" s="5"/>
      <c r="L670" s="2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28"/>
      <c r="J671" s="28"/>
      <c r="K671" s="5"/>
      <c r="L671" s="28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28"/>
      <c r="J672" s="28"/>
      <c r="K672" s="5"/>
      <c r="L672" s="2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28"/>
      <c r="J673" s="28"/>
      <c r="K673" s="5"/>
      <c r="L673" s="28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28"/>
      <c r="J674" s="28"/>
      <c r="K674" s="5"/>
      <c r="L674" s="2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28"/>
      <c r="J675" s="28"/>
      <c r="K675" s="5"/>
      <c r="L675" s="28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28"/>
      <c r="J676" s="28"/>
      <c r="K676" s="5"/>
      <c r="L676" s="2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28"/>
      <c r="J677" s="28"/>
      <c r="K677" s="5"/>
      <c r="L677" s="28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28"/>
      <c r="J678" s="28"/>
      <c r="K678" s="5"/>
      <c r="L678" s="2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28"/>
      <c r="J679" s="28"/>
      <c r="K679" s="5"/>
      <c r="L679" s="28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28"/>
      <c r="J680" s="28"/>
      <c r="K680" s="5"/>
      <c r="L680" s="2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28"/>
      <c r="J681" s="28"/>
      <c r="K681" s="5"/>
      <c r="L681" s="28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28"/>
      <c r="J682" s="28"/>
      <c r="K682" s="5"/>
      <c r="L682" s="2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28"/>
      <c r="J683" s="28"/>
      <c r="K683" s="5"/>
      <c r="L683" s="28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28"/>
      <c r="J684" s="28"/>
      <c r="K684" s="5"/>
      <c r="L684" s="2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28"/>
      <c r="J685" s="28"/>
      <c r="K685" s="5"/>
      <c r="L685" s="28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28"/>
      <c r="J686" s="28"/>
      <c r="K686" s="5"/>
      <c r="L686" s="2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28"/>
      <c r="J687" s="28"/>
      <c r="K687" s="5"/>
      <c r="L687" s="28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28"/>
      <c r="J688" s="28"/>
      <c r="K688" s="5"/>
      <c r="L688" s="2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28"/>
      <c r="J689" s="28"/>
      <c r="K689" s="5"/>
      <c r="L689" s="28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28"/>
      <c r="J690" s="28"/>
      <c r="K690" s="5"/>
      <c r="L690" s="2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28"/>
      <c r="J691" s="28"/>
      <c r="K691" s="5"/>
      <c r="L691" s="28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28"/>
      <c r="J692" s="28"/>
      <c r="K692" s="5"/>
      <c r="L692" s="2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28"/>
      <c r="J693" s="28"/>
      <c r="K693" s="5"/>
      <c r="L693" s="28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28"/>
      <c r="J694" s="28"/>
      <c r="K694" s="5"/>
      <c r="L694" s="2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28"/>
      <c r="J695" s="28"/>
      <c r="K695" s="5"/>
      <c r="L695" s="28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28"/>
      <c r="J696" s="28"/>
      <c r="K696" s="5"/>
      <c r="L696" s="2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28"/>
      <c r="J697" s="28"/>
      <c r="K697" s="5"/>
      <c r="L697" s="28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28"/>
      <c r="J698" s="28"/>
      <c r="K698" s="5"/>
      <c r="L698" s="2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28"/>
      <c r="J699" s="28"/>
      <c r="K699" s="5"/>
      <c r="L699" s="28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28"/>
      <c r="J700" s="28"/>
      <c r="K700" s="5"/>
      <c r="L700" s="2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28"/>
      <c r="J701" s="28"/>
      <c r="K701" s="5"/>
      <c r="L701" s="28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28"/>
      <c r="J702" s="28"/>
      <c r="K702" s="5"/>
      <c r="L702" s="2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28"/>
      <c r="J703" s="28"/>
      <c r="K703" s="5"/>
      <c r="L703" s="28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28"/>
      <c r="J704" s="28"/>
      <c r="K704" s="5"/>
      <c r="L704" s="2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28"/>
      <c r="J705" s="28"/>
      <c r="K705" s="5"/>
      <c r="L705" s="28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28"/>
      <c r="J706" s="28"/>
      <c r="K706" s="5"/>
      <c r="L706" s="2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28"/>
      <c r="J707" s="28"/>
      <c r="K707" s="5"/>
      <c r="L707" s="28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28"/>
      <c r="J708" s="28"/>
      <c r="K708" s="5"/>
      <c r="L708" s="2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28"/>
      <c r="J709" s="28"/>
      <c r="K709" s="5"/>
      <c r="L709" s="28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28"/>
      <c r="J710" s="28"/>
      <c r="K710" s="5"/>
      <c r="L710" s="2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28"/>
      <c r="J711" s="28"/>
      <c r="K711" s="5"/>
      <c r="L711" s="28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28"/>
      <c r="J712" s="28"/>
      <c r="K712" s="5"/>
      <c r="L712" s="28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28"/>
      <c r="J713" s="28"/>
      <c r="K713" s="5"/>
      <c r="L713" s="28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28"/>
      <c r="J714" s="28"/>
      <c r="K714" s="5"/>
      <c r="L714" s="28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28"/>
      <c r="J715" s="28"/>
      <c r="K715" s="5"/>
      <c r="L715" s="28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28"/>
      <c r="J716" s="28"/>
      <c r="K716" s="5"/>
      <c r="L716" s="28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28"/>
      <c r="J717" s="28"/>
      <c r="K717" s="5"/>
      <c r="L717" s="28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28"/>
      <c r="J718" s="28"/>
      <c r="K718" s="5"/>
      <c r="L718" s="28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28"/>
      <c r="J719" s="28"/>
      <c r="K719" s="5"/>
      <c r="L719" s="28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28"/>
      <c r="J720" s="28"/>
      <c r="K720" s="5"/>
      <c r="L720" s="28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28"/>
      <c r="J721" s="28"/>
      <c r="K721" s="5"/>
      <c r="L721" s="28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28"/>
      <c r="J722" s="28"/>
      <c r="K722" s="5"/>
      <c r="L722" s="28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28"/>
      <c r="J723" s="28"/>
      <c r="K723" s="5"/>
      <c r="L723" s="28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28"/>
      <c r="J724" s="28"/>
      <c r="K724" s="5"/>
      <c r="L724" s="28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28"/>
      <c r="J725" s="28"/>
      <c r="K725" s="5"/>
      <c r="L725" s="28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28"/>
      <c r="J726" s="28"/>
      <c r="K726" s="5"/>
      <c r="L726" s="28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28"/>
      <c r="J727" s="28"/>
      <c r="K727" s="5"/>
      <c r="L727" s="28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28"/>
      <c r="J728" s="28"/>
      <c r="K728" s="5"/>
      <c r="L728" s="28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28"/>
      <c r="J729" s="28"/>
      <c r="K729" s="5"/>
      <c r="L729" s="28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28"/>
      <c r="J730" s="28"/>
      <c r="K730" s="5"/>
      <c r="L730" s="28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28"/>
      <c r="J731" s="28"/>
      <c r="K731" s="5"/>
      <c r="L731" s="28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28"/>
      <c r="J732" s="28"/>
      <c r="K732" s="5"/>
      <c r="L732" s="28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28"/>
      <c r="J733" s="28"/>
      <c r="K733" s="5"/>
      <c r="L733" s="28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28"/>
      <c r="J734" s="28"/>
      <c r="K734" s="5"/>
      <c r="L734" s="28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28"/>
      <c r="J735" s="28"/>
      <c r="K735" s="5"/>
      <c r="L735" s="28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28"/>
      <c r="J736" s="28"/>
      <c r="K736" s="5"/>
      <c r="L736" s="28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28"/>
      <c r="J737" s="28"/>
      <c r="K737" s="5"/>
      <c r="L737" s="28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28"/>
      <c r="J738" s="28"/>
      <c r="K738" s="5"/>
      <c r="L738" s="28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28"/>
      <c r="J739" s="28"/>
      <c r="K739" s="5"/>
      <c r="L739" s="28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28"/>
      <c r="J740" s="28"/>
      <c r="K740" s="5"/>
      <c r="L740" s="28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28"/>
      <c r="J741" s="28"/>
      <c r="K741" s="5"/>
      <c r="L741" s="28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28"/>
      <c r="J742" s="28"/>
      <c r="K742" s="5"/>
      <c r="L742" s="28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28"/>
      <c r="J743" s="28"/>
      <c r="K743" s="5"/>
      <c r="L743" s="28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28"/>
      <c r="J744" s="28"/>
      <c r="K744" s="5"/>
      <c r="L744" s="28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28"/>
      <c r="J745" s="28"/>
      <c r="K745" s="5"/>
      <c r="L745" s="28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28"/>
      <c r="J746" s="28"/>
      <c r="K746" s="5"/>
      <c r="L746" s="28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28"/>
      <c r="J747" s="28"/>
      <c r="K747" s="5"/>
      <c r="L747" s="28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28"/>
      <c r="J748" s="28"/>
      <c r="K748" s="5"/>
      <c r="L748" s="28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28"/>
      <c r="J749" s="28"/>
      <c r="K749" s="5"/>
      <c r="L749" s="28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28"/>
      <c r="J750" s="28"/>
      <c r="K750" s="5"/>
      <c r="L750" s="28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28"/>
      <c r="J751" s="28"/>
      <c r="K751" s="5"/>
      <c r="L751" s="28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28"/>
      <c r="J752" s="28"/>
      <c r="K752" s="5"/>
      <c r="L752" s="28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28"/>
      <c r="J753" s="28"/>
      <c r="K753" s="5"/>
      <c r="L753" s="28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28"/>
      <c r="J754" s="28"/>
      <c r="K754" s="5"/>
      <c r="L754" s="28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28"/>
      <c r="J755" s="28"/>
      <c r="K755" s="5"/>
      <c r="L755" s="28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28"/>
      <c r="J756" s="28"/>
      <c r="K756" s="5"/>
      <c r="L756" s="28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28"/>
      <c r="J757" s="28"/>
      <c r="K757" s="5"/>
      <c r="L757" s="28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28"/>
      <c r="J758" s="28"/>
      <c r="K758" s="5"/>
      <c r="L758" s="28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28"/>
      <c r="J759" s="28"/>
      <c r="K759" s="5"/>
      <c r="L759" s="28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28"/>
      <c r="J760" s="28"/>
      <c r="K760" s="5"/>
      <c r="L760" s="28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28"/>
      <c r="J761" s="28"/>
      <c r="K761" s="5"/>
      <c r="L761" s="28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28"/>
      <c r="J762" s="28"/>
      <c r="K762" s="5"/>
      <c r="L762" s="28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28"/>
      <c r="J763" s="28"/>
      <c r="K763" s="5"/>
      <c r="L763" s="28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28"/>
      <c r="J764" s="28"/>
      <c r="K764" s="5"/>
      <c r="L764" s="28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28"/>
      <c r="J765" s="28"/>
      <c r="K765" s="5"/>
      <c r="L765" s="28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28"/>
      <c r="J766" s="28"/>
      <c r="K766" s="5"/>
      <c r="L766" s="28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28"/>
      <c r="J767" s="28"/>
      <c r="K767" s="5"/>
      <c r="L767" s="28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28"/>
      <c r="J768" s="28"/>
      <c r="K768" s="5"/>
      <c r="L768" s="28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28"/>
      <c r="J769" s="28"/>
      <c r="K769" s="5"/>
      <c r="L769" s="28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28"/>
      <c r="J770" s="28"/>
      <c r="K770" s="5"/>
      <c r="L770" s="28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28"/>
      <c r="J771" s="28"/>
      <c r="K771" s="5"/>
      <c r="L771" s="28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28"/>
      <c r="J772" s="28"/>
      <c r="K772" s="5"/>
      <c r="L772" s="28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28"/>
      <c r="J773" s="28"/>
      <c r="K773" s="5"/>
      <c r="L773" s="28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28"/>
      <c r="J774" s="28"/>
      <c r="K774" s="5"/>
      <c r="L774" s="28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28"/>
      <c r="J775" s="28"/>
      <c r="K775" s="5"/>
      <c r="L775" s="28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28"/>
      <c r="J776" s="28"/>
      <c r="K776" s="5"/>
      <c r="L776" s="28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28"/>
      <c r="J777" s="28"/>
      <c r="K777" s="5"/>
      <c r="L777" s="28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28"/>
      <c r="J778" s="28"/>
      <c r="K778" s="5"/>
      <c r="L778" s="28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28"/>
      <c r="J779" s="28"/>
      <c r="K779" s="5"/>
      <c r="L779" s="28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28"/>
      <c r="J780" s="28"/>
      <c r="K780" s="5"/>
      <c r="L780" s="28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28"/>
      <c r="J781" s="28"/>
      <c r="K781" s="5"/>
      <c r="L781" s="28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28"/>
      <c r="J782" s="28"/>
      <c r="K782" s="5"/>
      <c r="L782" s="28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28"/>
      <c r="J783" s="28"/>
      <c r="K783" s="5"/>
      <c r="L783" s="28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28"/>
      <c r="J784" s="28"/>
      <c r="K784" s="5"/>
      <c r="L784" s="28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28"/>
      <c r="J785" s="28"/>
      <c r="K785" s="5"/>
      <c r="L785" s="28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28"/>
      <c r="J786" s="28"/>
      <c r="K786" s="5"/>
      <c r="L786" s="28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28"/>
      <c r="J787" s="28"/>
      <c r="K787" s="5"/>
      <c r="L787" s="28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28"/>
      <c r="J788" s="28"/>
      <c r="K788" s="5"/>
      <c r="L788" s="28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28"/>
      <c r="J789" s="28"/>
      <c r="K789" s="5"/>
      <c r="L789" s="28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28"/>
      <c r="J790" s="28"/>
      <c r="K790" s="5"/>
      <c r="L790" s="28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28"/>
      <c r="J791" s="28"/>
      <c r="K791" s="5"/>
      <c r="L791" s="28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28"/>
      <c r="J792" s="28"/>
      <c r="K792" s="5"/>
      <c r="L792" s="28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28"/>
      <c r="J793" s="28"/>
      <c r="K793" s="5"/>
      <c r="L793" s="28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28"/>
      <c r="J794" s="28"/>
      <c r="K794" s="5"/>
      <c r="L794" s="28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28"/>
      <c r="J795" s="28"/>
      <c r="K795" s="5"/>
      <c r="L795" s="28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28"/>
      <c r="J796" s="28"/>
      <c r="K796" s="5"/>
      <c r="L796" s="28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28"/>
      <c r="J797" s="28"/>
      <c r="K797" s="5"/>
      <c r="L797" s="28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28"/>
      <c r="J798" s="28"/>
      <c r="K798" s="5"/>
      <c r="L798" s="28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28"/>
      <c r="J799" s="28"/>
      <c r="K799" s="5"/>
      <c r="L799" s="28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28"/>
      <c r="J800" s="28"/>
      <c r="K800" s="5"/>
      <c r="L800" s="28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28"/>
      <c r="J801" s="28"/>
      <c r="K801" s="5"/>
      <c r="L801" s="28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28"/>
      <c r="J802" s="28"/>
      <c r="K802" s="5"/>
      <c r="L802" s="28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28"/>
      <c r="J803" s="28"/>
      <c r="K803" s="5"/>
      <c r="L803" s="28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28"/>
      <c r="J804" s="28"/>
      <c r="K804" s="5"/>
      <c r="L804" s="2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28"/>
      <c r="J805" s="28"/>
      <c r="K805" s="5"/>
      <c r="L805" s="28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28"/>
      <c r="J806" s="28"/>
      <c r="K806" s="5"/>
      <c r="L806" s="2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28"/>
      <c r="J807" s="28"/>
      <c r="K807" s="5"/>
      <c r="L807" s="28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28"/>
      <c r="J808" s="28"/>
      <c r="K808" s="5"/>
      <c r="L808" s="28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28"/>
      <c r="J809" s="28"/>
      <c r="K809" s="5"/>
      <c r="L809" s="28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28"/>
      <c r="J810" s="28"/>
      <c r="K810" s="5"/>
      <c r="L810" s="2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28"/>
      <c r="J811" s="28"/>
      <c r="K811" s="5"/>
      <c r="L811" s="28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28"/>
      <c r="J812" s="28"/>
      <c r="K812" s="5"/>
      <c r="L812" s="28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28"/>
      <c r="J813" s="28"/>
      <c r="K813" s="5"/>
      <c r="L813" s="28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28"/>
      <c r="J814" s="28"/>
      <c r="K814" s="5"/>
      <c r="L814" s="28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28"/>
      <c r="J815" s="28"/>
      <c r="K815" s="5"/>
      <c r="L815" s="28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28"/>
      <c r="J816" s="28"/>
      <c r="K816" s="5"/>
      <c r="L816" s="28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28"/>
      <c r="J817" s="28"/>
      <c r="K817" s="5"/>
      <c r="L817" s="28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28"/>
      <c r="J818" s="28"/>
      <c r="K818" s="5"/>
      <c r="L818" s="28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28"/>
      <c r="J819" s="28"/>
      <c r="K819" s="5"/>
      <c r="L819" s="28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28"/>
      <c r="J820" s="28"/>
      <c r="K820" s="5"/>
      <c r="L820" s="28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28"/>
      <c r="J821" s="28"/>
      <c r="K821" s="5"/>
      <c r="L821" s="28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28"/>
      <c r="J822" s="28"/>
      <c r="K822" s="5"/>
      <c r="L822" s="28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28"/>
      <c r="J823" s="28"/>
      <c r="K823" s="5"/>
      <c r="L823" s="28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28"/>
      <c r="J824" s="28"/>
      <c r="K824" s="5"/>
      <c r="L824" s="28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28"/>
      <c r="J825" s="28"/>
      <c r="K825" s="5"/>
      <c r="L825" s="28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28"/>
      <c r="J826" s="28"/>
      <c r="K826" s="5"/>
      <c r="L826" s="28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28"/>
      <c r="J827" s="28"/>
      <c r="K827" s="5"/>
      <c r="L827" s="28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28"/>
      <c r="J828" s="28"/>
      <c r="K828" s="5"/>
      <c r="L828" s="28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28"/>
      <c r="J829" s="28"/>
      <c r="K829" s="5"/>
      <c r="L829" s="28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28"/>
      <c r="J830" s="28"/>
      <c r="K830" s="5"/>
      <c r="L830" s="28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28"/>
      <c r="J831" s="28"/>
      <c r="K831" s="5"/>
      <c r="L831" s="28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28"/>
      <c r="J832" s="28"/>
      <c r="K832" s="5"/>
      <c r="L832" s="28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28"/>
      <c r="J833" s="28"/>
      <c r="K833" s="5"/>
      <c r="L833" s="28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28"/>
      <c r="J834" s="28"/>
      <c r="K834" s="5"/>
      <c r="L834" s="28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28"/>
      <c r="J835" s="28"/>
      <c r="K835" s="5"/>
      <c r="L835" s="28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28"/>
      <c r="J836" s="28"/>
      <c r="K836" s="5"/>
      <c r="L836" s="28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28"/>
      <c r="J837" s="28"/>
      <c r="K837" s="5"/>
      <c r="L837" s="28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28"/>
      <c r="J838" s="28"/>
      <c r="K838" s="5"/>
      <c r="L838" s="28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28"/>
      <c r="J839" s="28"/>
      <c r="K839" s="5"/>
      <c r="L839" s="28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28"/>
      <c r="J840" s="28"/>
      <c r="K840" s="5"/>
      <c r="L840" s="28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28"/>
      <c r="J841" s="28"/>
      <c r="K841" s="5"/>
      <c r="L841" s="28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28"/>
      <c r="J842" s="28"/>
      <c r="K842" s="5"/>
      <c r="L842" s="28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28"/>
      <c r="J843" s="28"/>
      <c r="K843" s="5"/>
      <c r="L843" s="28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28"/>
      <c r="J844" s="28"/>
      <c r="K844" s="5"/>
      <c r="L844" s="28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28"/>
      <c r="J845" s="28"/>
      <c r="K845" s="5"/>
      <c r="L845" s="28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28"/>
      <c r="J846" s="28"/>
      <c r="K846" s="5"/>
      <c r="L846" s="28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28"/>
      <c r="J847" s="28"/>
      <c r="K847" s="5"/>
      <c r="L847" s="28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28"/>
      <c r="J848" s="28"/>
      <c r="K848" s="5"/>
      <c r="L848" s="28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28"/>
      <c r="J849" s="28"/>
      <c r="K849" s="5"/>
      <c r="L849" s="28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28"/>
      <c r="J850" s="28"/>
      <c r="K850" s="5"/>
      <c r="L850" s="28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28"/>
      <c r="J851" s="28"/>
      <c r="K851" s="5"/>
      <c r="L851" s="28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28"/>
      <c r="J852" s="28"/>
      <c r="K852" s="5"/>
      <c r="L852" s="28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28"/>
      <c r="J853" s="28"/>
      <c r="K853" s="5"/>
      <c r="L853" s="28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28"/>
      <c r="J854" s="28"/>
      <c r="K854" s="5"/>
      <c r="L854" s="28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28"/>
      <c r="J855" s="28"/>
      <c r="K855" s="5"/>
      <c r="L855" s="28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28"/>
      <c r="J856" s="28"/>
      <c r="K856" s="5"/>
      <c r="L856" s="28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28"/>
      <c r="J857" s="28"/>
      <c r="K857" s="5"/>
      <c r="L857" s="28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28"/>
      <c r="J858" s="28"/>
      <c r="K858" s="5"/>
      <c r="L858" s="28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28"/>
      <c r="J859" s="28"/>
      <c r="K859" s="5"/>
      <c r="L859" s="28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28"/>
      <c r="J860" s="28"/>
      <c r="K860" s="5"/>
      <c r="L860" s="28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28"/>
      <c r="J861" s="28"/>
      <c r="K861" s="5"/>
      <c r="L861" s="28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28"/>
      <c r="J862" s="28"/>
      <c r="K862" s="5"/>
      <c r="L862" s="28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28"/>
      <c r="J863" s="28"/>
      <c r="K863" s="5"/>
      <c r="L863" s="28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28"/>
      <c r="J864" s="28"/>
      <c r="K864" s="5"/>
      <c r="L864" s="28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28"/>
      <c r="J865" s="28"/>
      <c r="K865" s="5"/>
      <c r="L865" s="28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28"/>
      <c r="J866" s="28"/>
      <c r="K866" s="5"/>
      <c r="L866" s="28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28"/>
      <c r="J867" s="28"/>
      <c r="K867" s="5"/>
      <c r="L867" s="28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28"/>
      <c r="J868" s="28"/>
      <c r="K868" s="5"/>
      <c r="L868" s="28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28"/>
      <c r="J869" s="28"/>
      <c r="K869" s="5"/>
      <c r="L869" s="28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28"/>
      <c r="J870" s="28"/>
      <c r="K870" s="5"/>
      <c r="L870" s="28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28"/>
      <c r="J871" s="28"/>
      <c r="K871" s="5"/>
      <c r="L871" s="28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28"/>
      <c r="J872" s="28"/>
      <c r="K872" s="5"/>
      <c r="L872" s="28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28"/>
      <c r="J873" s="28"/>
      <c r="K873" s="5"/>
      <c r="L873" s="28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28"/>
      <c r="J874" s="28"/>
      <c r="K874" s="5"/>
      <c r="L874" s="28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28"/>
      <c r="J875" s="28"/>
      <c r="K875" s="5"/>
      <c r="L875" s="28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28"/>
      <c r="J876" s="28"/>
      <c r="K876" s="5"/>
      <c r="L876" s="28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28"/>
      <c r="J877" s="28"/>
      <c r="K877" s="5"/>
      <c r="L877" s="28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28"/>
      <c r="J878" s="28"/>
      <c r="K878" s="5"/>
      <c r="L878" s="28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28"/>
      <c r="J879" s="28"/>
      <c r="K879" s="5"/>
      <c r="L879" s="28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28"/>
      <c r="J880" s="28"/>
      <c r="K880" s="5"/>
      <c r="L880" s="28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28"/>
      <c r="J881" s="28"/>
      <c r="K881" s="5"/>
      <c r="L881" s="28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28"/>
      <c r="J882" s="28"/>
      <c r="K882" s="5"/>
      <c r="L882" s="28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28"/>
      <c r="J883" s="28"/>
      <c r="K883" s="5"/>
      <c r="L883" s="28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28"/>
      <c r="J884" s="28"/>
      <c r="K884" s="5"/>
      <c r="L884" s="28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28"/>
      <c r="J885" s="28"/>
      <c r="K885" s="5"/>
      <c r="L885" s="28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28"/>
      <c r="J886" s="28"/>
      <c r="K886" s="5"/>
      <c r="L886" s="28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28"/>
      <c r="J887" s="28"/>
      <c r="K887" s="5"/>
      <c r="L887" s="28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28"/>
      <c r="J888" s="28"/>
      <c r="K888" s="5"/>
      <c r="L888" s="28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28"/>
      <c r="J889" s="28"/>
      <c r="K889" s="5"/>
      <c r="L889" s="28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28"/>
      <c r="J890" s="28"/>
      <c r="K890" s="5"/>
      <c r="L890" s="28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28"/>
      <c r="J891" s="28"/>
      <c r="K891" s="5"/>
      <c r="L891" s="28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28"/>
      <c r="J892" s="28"/>
      <c r="K892" s="5"/>
      <c r="L892" s="28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28"/>
      <c r="J893" s="28"/>
      <c r="K893" s="5"/>
      <c r="L893" s="28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28"/>
      <c r="J894" s="28"/>
      <c r="K894" s="5"/>
      <c r="L894" s="28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28"/>
      <c r="J895" s="28"/>
      <c r="K895" s="5"/>
      <c r="L895" s="28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28"/>
      <c r="J896" s="28"/>
      <c r="K896" s="5"/>
      <c r="L896" s="28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28"/>
      <c r="J897" s="28"/>
      <c r="K897" s="5"/>
      <c r="L897" s="28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28"/>
      <c r="J898" s="28"/>
      <c r="K898" s="5"/>
      <c r="L898" s="28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28"/>
      <c r="J899" s="28"/>
      <c r="K899" s="5"/>
      <c r="L899" s="28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28"/>
      <c r="J900" s="28"/>
      <c r="K900" s="5"/>
      <c r="L900" s="28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28"/>
      <c r="J901" s="28"/>
      <c r="K901" s="5"/>
      <c r="L901" s="28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28"/>
      <c r="J902" s="28"/>
      <c r="K902" s="5"/>
      <c r="L902" s="28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28"/>
      <c r="J903" s="28"/>
      <c r="K903" s="5"/>
      <c r="L903" s="28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28"/>
      <c r="J904" s="28"/>
      <c r="K904" s="5"/>
      <c r="L904" s="28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28"/>
      <c r="J905" s="28"/>
      <c r="K905" s="5"/>
      <c r="L905" s="28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28"/>
      <c r="J906" s="28"/>
      <c r="K906" s="5"/>
      <c r="L906" s="28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28"/>
      <c r="J907" s="28"/>
      <c r="K907" s="5"/>
      <c r="L907" s="28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28"/>
      <c r="J908" s="28"/>
      <c r="K908" s="5"/>
      <c r="L908" s="28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28"/>
      <c r="J909" s="28"/>
      <c r="K909" s="5"/>
      <c r="L909" s="28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28"/>
      <c r="J910" s="28"/>
      <c r="K910" s="5"/>
      <c r="L910" s="28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28"/>
      <c r="J911" s="28"/>
      <c r="K911" s="5"/>
      <c r="L911" s="28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28"/>
      <c r="J912" s="28"/>
      <c r="K912" s="5"/>
      <c r="L912" s="2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28"/>
      <c r="J913" s="28"/>
      <c r="K913" s="5"/>
      <c r="L913" s="28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28"/>
      <c r="J914" s="28"/>
      <c r="K914" s="5"/>
      <c r="L914" s="28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28"/>
      <c r="J915" s="28"/>
      <c r="K915" s="5"/>
      <c r="L915" s="28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28"/>
      <c r="J916" s="28"/>
      <c r="K916" s="5"/>
      <c r="L916" s="28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28"/>
      <c r="J917" s="28"/>
      <c r="K917" s="5"/>
      <c r="L917" s="28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28"/>
      <c r="J918" s="28"/>
      <c r="K918" s="5"/>
      <c r="L918" s="2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28"/>
      <c r="J919" s="28"/>
      <c r="K919" s="5"/>
      <c r="L919" s="28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28"/>
      <c r="J920" s="28"/>
      <c r="K920" s="5"/>
      <c r="L920" s="28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28"/>
      <c r="J921" s="28"/>
      <c r="K921" s="5"/>
      <c r="L921" s="28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28"/>
      <c r="J922" s="28"/>
      <c r="K922" s="5"/>
      <c r="L922" s="28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28"/>
      <c r="J923" s="28"/>
      <c r="K923" s="5"/>
      <c r="L923" s="28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28"/>
      <c r="J924" s="28"/>
      <c r="K924" s="5"/>
      <c r="L924" s="2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28"/>
      <c r="J925" s="28"/>
      <c r="K925" s="5"/>
      <c r="L925" s="28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28"/>
      <c r="J926" s="28"/>
      <c r="K926" s="5"/>
      <c r="L926" s="28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28"/>
      <c r="J927" s="28"/>
      <c r="K927" s="5"/>
      <c r="L927" s="28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28"/>
      <c r="J928" s="28"/>
      <c r="K928" s="5"/>
      <c r="L928" s="28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28"/>
      <c r="J929" s="28"/>
      <c r="K929" s="5"/>
      <c r="L929" s="28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28"/>
      <c r="J930" s="28"/>
      <c r="K930" s="5"/>
      <c r="L930" s="28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28"/>
      <c r="J931" s="28"/>
      <c r="K931" s="5"/>
      <c r="L931" s="28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28"/>
      <c r="J932" s="28"/>
      <c r="K932" s="5"/>
      <c r="L932" s="28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28"/>
      <c r="J933" s="28"/>
      <c r="K933" s="5"/>
      <c r="L933" s="28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28"/>
      <c r="J934" s="28"/>
      <c r="K934" s="5"/>
      <c r="L934" s="28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28"/>
      <c r="J935" s="28"/>
      <c r="K935" s="5"/>
      <c r="L935" s="28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28"/>
      <c r="J936" s="28"/>
      <c r="K936" s="5"/>
      <c r="L936" s="28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28"/>
      <c r="J937" s="28"/>
      <c r="K937" s="5"/>
      <c r="L937" s="28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28"/>
      <c r="J938" s="28"/>
      <c r="K938" s="5"/>
      <c r="L938" s="28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28"/>
      <c r="J939" s="28"/>
      <c r="K939" s="5"/>
      <c r="L939" s="28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28"/>
      <c r="J940" s="28"/>
      <c r="K940" s="5"/>
      <c r="L940" s="28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28"/>
      <c r="J941" s="28"/>
      <c r="K941" s="5"/>
      <c r="L941" s="28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28"/>
      <c r="J942" s="28"/>
      <c r="K942" s="5"/>
      <c r="L942" s="28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28"/>
      <c r="J943" s="28"/>
      <c r="K943" s="5"/>
      <c r="L943" s="28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28"/>
      <c r="J944" s="28"/>
      <c r="K944" s="5"/>
      <c r="L944" s="28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28"/>
      <c r="J945" s="28"/>
      <c r="K945" s="5"/>
      <c r="L945" s="28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28"/>
      <c r="J946" s="28"/>
      <c r="K946" s="5"/>
      <c r="L946" s="28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28"/>
      <c r="J947" s="28"/>
      <c r="K947" s="5"/>
      <c r="L947" s="28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28"/>
      <c r="J948" s="28"/>
      <c r="K948" s="5"/>
      <c r="L948" s="28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28"/>
      <c r="J949" s="28"/>
      <c r="K949" s="5"/>
      <c r="L949" s="28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28"/>
      <c r="J950" s="28"/>
      <c r="K950" s="5"/>
      <c r="L950" s="28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28"/>
      <c r="J951" s="28"/>
      <c r="K951" s="5"/>
      <c r="L951" s="28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28"/>
      <c r="J952" s="28"/>
      <c r="K952" s="5"/>
      <c r="L952" s="28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28"/>
      <c r="J953" s="28"/>
      <c r="K953" s="5"/>
      <c r="L953" s="28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28"/>
      <c r="J954" s="28"/>
      <c r="K954" s="5"/>
      <c r="L954" s="28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28"/>
      <c r="J955" s="28"/>
      <c r="K955" s="5"/>
      <c r="L955" s="28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28"/>
      <c r="J956" s="28"/>
      <c r="K956" s="5"/>
      <c r="L956" s="28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28"/>
      <c r="J957" s="28"/>
      <c r="K957" s="5"/>
      <c r="L957" s="28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28"/>
      <c r="J958" s="28"/>
      <c r="K958" s="5"/>
      <c r="L958" s="28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28"/>
      <c r="J959" s="28"/>
      <c r="K959" s="5"/>
      <c r="L959" s="28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28"/>
      <c r="J960" s="28"/>
      <c r="K960" s="5"/>
      <c r="L960" s="28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28"/>
      <c r="J961" s="28"/>
      <c r="K961" s="5"/>
      <c r="L961" s="28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28"/>
      <c r="J962" s="28"/>
      <c r="K962" s="5"/>
      <c r="L962" s="28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28"/>
      <c r="J963" s="28"/>
      <c r="K963" s="5"/>
      <c r="L963" s="28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28"/>
      <c r="J964" s="28"/>
      <c r="K964" s="5"/>
      <c r="L964" s="28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28"/>
      <c r="J965" s="28"/>
      <c r="K965" s="5"/>
      <c r="L965" s="28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28"/>
      <c r="J966" s="28"/>
      <c r="K966" s="5"/>
      <c r="L966" s="28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28"/>
      <c r="J967" s="28"/>
      <c r="K967" s="5"/>
      <c r="L967" s="28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28"/>
      <c r="J968" s="28"/>
      <c r="K968" s="5"/>
      <c r="L968" s="28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28"/>
      <c r="J969" s="28"/>
      <c r="K969" s="5"/>
      <c r="L969" s="28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28"/>
      <c r="J970" s="28"/>
      <c r="K970" s="5"/>
      <c r="L970" s="28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28"/>
      <c r="J971" s="28"/>
      <c r="K971" s="5"/>
      <c r="L971" s="28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28"/>
      <c r="J972" s="28"/>
      <c r="K972" s="5"/>
      <c r="L972" s="28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28"/>
      <c r="J973" s="28"/>
      <c r="K973" s="5"/>
      <c r="L973" s="28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28"/>
      <c r="J974" s="28"/>
      <c r="K974" s="5"/>
      <c r="L974" s="28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28"/>
      <c r="J975" s="28"/>
      <c r="K975" s="5"/>
      <c r="L975" s="28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28"/>
      <c r="J976" s="28"/>
      <c r="K976" s="5"/>
      <c r="L976" s="28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28"/>
      <c r="J977" s="28"/>
      <c r="K977" s="5"/>
      <c r="L977" s="28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28"/>
      <c r="J978" s="28"/>
      <c r="K978" s="5"/>
      <c r="L978" s="28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28"/>
      <c r="J979" s="28"/>
      <c r="K979" s="5"/>
      <c r="L979" s="28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28"/>
      <c r="J980" s="28"/>
      <c r="K980" s="5"/>
      <c r="L980" s="28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28"/>
      <c r="J981" s="28"/>
      <c r="K981" s="5"/>
      <c r="L981" s="28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28"/>
      <c r="J982" s="28"/>
      <c r="K982" s="5"/>
      <c r="L982" s="28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28"/>
      <c r="J983" s="28"/>
      <c r="K983" s="5"/>
      <c r="L983" s="28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28"/>
      <c r="J984" s="28"/>
      <c r="K984" s="5"/>
      <c r="L984" s="28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28"/>
      <c r="J985" s="28"/>
      <c r="K985" s="5"/>
      <c r="L985" s="28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28"/>
      <c r="J986" s="28"/>
      <c r="K986" s="5"/>
      <c r="L986" s="28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28"/>
      <c r="J987" s="28"/>
      <c r="K987" s="5"/>
      <c r="L987" s="28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28"/>
      <c r="J988" s="28"/>
      <c r="K988" s="5"/>
      <c r="L988" s="28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28"/>
      <c r="J989" s="28"/>
      <c r="K989" s="5"/>
      <c r="L989" s="28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28"/>
      <c r="J990" s="28"/>
      <c r="K990" s="5"/>
      <c r="L990" s="28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28"/>
      <c r="J991" s="28"/>
      <c r="K991" s="5"/>
      <c r="L991" s="28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28"/>
      <c r="J992" s="28"/>
      <c r="K992" s="5"/>
      <c r="L992" s="28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28"/>
      <c r="J993" s="28"/>
      <c r="K993" s="5"/>
      <c r="L993" s="28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28"/>
      <c r="J994" s="28"/>
      <c r="K994" s="5"/>
      <c r="L994" s="28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28"/>
      <c r="J995" s="28"/>
      <c r="K995" s="5"/>
      <c r="L995" s="28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28"/>
      <c r="J996" s="28"/>
      <c r="K996" s="5"/>
      <c r="L996" s="28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28"/>
      <c r="J997" s="28"/>
      <c r="K997" s="5"/>
      <c r="L997" s="28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28"/>
      <c r="J998" s="28"/>
      <c r="K998" s="5"/>
      <c r="L998" s="28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28"/>
      <c r="J999" s="28"/>
      <c r="K999" s="5"/>
      <c r="L999" s="28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28"/>
      <c r="J1000" s="28"/>
      <c r="K1000" s="5"/>
      <c r="L1000" s="28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28"/>
      <c r="J1001" s="28"/>
      <c r="K1001" s="5"/>
      <c r="L1001" s="28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28"/>
      <c r="J1002" s="28"/>
      <c r="K1002" s="5"/>
      <c r="L1002" s="28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28"/>
      <c r="J1003" s="28"/>
      <c r="K1003" s="5"/>
      <c r="L1003" s="28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28"/>
      <c r="J1004" s="28"/>
      <c r="K1004" s="5"/>
      <c r="L1004" s="28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28"/>
      <c r="J1005" s="28"/>
      <c r="K1005" s="5"/>
      <c r="L1005" s="28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28"/>
      <c r="J1006" s="28"/>
      <c r="K1006" s="5"/>
      <c r="L1006" s="28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28"/>
      <c r="J1007" s="28"/>
      <c r="K1007" s="5"/>
      <c r="L1007" s="28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28"/>
      <c r="J1008" s="28"/>
      <c r="K1008" s="5"/>
      <c r="L1008" s="28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28"/>
      <c r="J1009" s="28"/>
      <c r="K1009" s="5"/>
      <c r="L1009" s="28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28"/>
      <c r="J1010" s="28"/>
      <c r="K1010" s="5"/>
      <c r="L1010" s="28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28"/>
      <c r="J1011" s="28"/>
      <c r="K1011" s="5"/>
      <c r="L1011" s="28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28"/>
      <c r="J1012" s="28"/>
      <c r="K1012" s="5"/>
      <c r="L1012" s="28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28"/>
      <c r="J1013" s="28"/>
      <c r="K1013" s="5"/>
      <c r="L1013" s="28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28"/>
      <c r="J1014" s="28"/>
      <c r="K1014" s="5"/>
      <c r="L1014" s="28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28"/>
      <c r="J1015" s="28"/>
      <c r="K1015" s="5"/>
      <c r="L1015" s="28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28"/>
      <c r="J1016" s="28"/>
      <c r="K1016" s="5"/>
      <c r="L1016" s="28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28"/>
      <c r="J1017" s="28"/>
      <c r="K1017" s="5"/>
      <c r="L1017" s="28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28"/>
      <c r="J1018" s="28"/>
      <c r="K1018" s="5"/>
      <c r="L1018" s="28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28"/>
      <c r="J1019" s="28"/>
      <c r="K1019" s="5"/>
      <c r="L1019" s="28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28"/>
      <c r="J1020" s="28"/>
      <c r="K1020" s="5"/>
      <c r="L1020" s="28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28"/>
      <c r="J1021" s="28"/>
      <c r="K1021" s="5"/>
      <c r="L1021" s="28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28"/>
      <c r="J1022" s="28"/>
      <c r="K1022" s="5"/>
      <c r="L1022" s="28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28"/>
      <c r="J1023" s="28"/>
      <c r="K1023" s="5"/>
      <c r="L1023" s="28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28"/>
      <c r="J1024" s="28"/>
      <c r="K1024" s="5"/>
      <c r="L1024" s="28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28"/>
      <c r="J1025" s="28"/>
      <c r="K1025" s="5"/>
      <c r="L1025" s="28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28"/>
      <c r="J1026" s="28"/>
      <c r="K1026" s="5"/>
      <c r="L1026" s="28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28"/>
      <c r="J1027" s="28"/>
      <c r="K1027" s="5"/>
      <c r="L1027" s="28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28"/>
      <c r="J1028" s="28"/>
      <c r="K1028" s="5"/>
      <c r="L1028" s="28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28"/>
      <c r="J1029" s="28"/>
      <c r="K1029" s="5"/>
      <c r="L1029" s="28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28"/>
      <c r="J1030" s="28"/>
      <c r="K1030" s="5"/>
      <c r="L1030" s="28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28"/>
      <c r="J1031" s="28"/>
      <c r="K1031" s="5"/>
      <c r="L1031" s="28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28"/>
      <c r="J1032" s="28"/>
      <c r="K1032" s="5"/>
      <c r="L1032" s="28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28"/>
      <c r="J1033" s="28"/>
      <c r="K1033" s="5"/>
      <c r="L1033" s="28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28"/>
      <c r="J1034" s="28"/>
      <c r="K1034" s="5"/>
      <c r="L1034" s="28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28"/>
      <c r="J1035" s="28"/>
      <c r="K1035" s="5"/>
      <c r="L1035" s="28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28"/>
      <c r="J1036" s="28"/>
      <c r="K1036" s="5"/>
      <c r="L1036" s="28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28"/>
      <c r="J1037" s="28"/>
      <c r="K1037" s="5"/>
      <c r="L1037" s="28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28"/>
      <c r="J1038" s="28"/>
      <c r="K1038" s="5"/>
      <c r="L1038" s="28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28"/>
      <c r="J1039" s="28"/>
      <c r="K1039" s="5"/>
      <c r="L1039" s="28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28"/>
      <c r="J1040" s="28"/>
      <c r="K1040" s="5"/>
      <c r="L1040" s="28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28"/>
      <c r="J1041" s="28"/>
      <c r="K1041" s="5"/>
      <c r="L1041" s="28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28"/>
      <c r="J1042" s="28"/>
      <c r="K1042" s="5"/>
      <c r="L1042" s="28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28"/>
      <c r="J1043" s="28"/>
      <c r="K1043" s="5"/>
      <c r="L1043" s="28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28"/>
      <c r="J1044" s="28"/>
      <c r="K1044" s="5"/>
      <c r="L1044" s="28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28"/>
      <c r="J1045" s="28"/>
      <c r="K1045" s="5"/>
      <c r="L1045" s="28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28"/>
      <c r="J1046" s="28"/>
      <c r="K1046" s="5"/>
      <c r="L1046" s="28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28"/>
      <c r="J1047" s="28"/>
      <c r="K1047" s="5"/>
      <c r="L1047" s="28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28"/>
      <c r="J1048" s="28"/>
      <c r="K1048" s="5"/>
      <c r="L1048" s="28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</sheetData>
  <customSheetViews>
    <customSheetView guid="{0E6AC9B2-D9B1-4621-B1A3-A1BCC96848B3}" filter="1" showAutoFilter="1">
      <autoFilter ref="$A$1:$L$105"/>
      <extLst>
        <ext uri="GoogleSheetsCustomDataVersion1">
          <go:sheetsCustomData xmlns:go="http://customooxmlschemas.google.com/" filterViewId="1806226393"/>
        </ext>
      </extLst>
    </customSheetView>
  </customSheetViews>
  <mergeCells count="52">
    <mergeCell ref="A2:A4"/>
    <mergeCell ref="B2:B4"/>
    <mergeCell ref="A5:A8"/>
    <mergeCell ref="B5:B8"/>
    <mergeCell ref="A9:A11"/>
    <mergeCell ref="B9:B11"/>
    <mergeCell ref="B12:B13"/>
    <mergeCell ref="A12:A13"/>
    <mergeCell ref="A15:A19"/>
    <mergeCell ref="B15:B19"/>
    <mergeCell ref="A20:A23"/>
    <mergeCell ref="B20:B23"/>
    <mergeCell ref="A24:A28"/>
    <mergeCell ref="B24:B28"/>
    <mergeCell ref="A30:A33"/>
    <mergeCell ref="B30:B33"/>
    <mergeCell ref="A34:A36"/>
    <mergeCell ref="B34:B36"/>
    <mergeCell ref="A37:A38"/>
    <mergeCell ref="B37:B38"/>
    <mergeCell ref="B39:B43"/>
    <mergeCell ref="A39:A43"/>
    <mergeCell ref="A44:A46"/>
    <mergeCell ref="A47:A52"/>
    <mergeCell ref="A53:A55"/>
    <mergeCell ref="A56:A57"/>
    <mergeCell ref="A58:A59"/>
    <mergeCell ref="A60:A63"/>
    <mergeCell ref="B66:B68"/>
    <mergeCell ref="B69:B71"/>
    <mergeCell ref="B72:B77"/>
    <mergeCell ref="B82:B84"/>
    <mergeCell ref="B85:B89"/>
    <mergeCell ref="B90:B97"/>
    <mergeCell ref="B98:B100"/>
    <mergeCell ref="B101:B103"/>
    <mergeCell ref="B44:B46"/>
    <mergeCell ref="B47:B52"/>
    <mergeCell ref="B53:B55"/>
    <mergeCell ref="B56:B57"/>
    <mergeCell ref="B58:B59"/>
    <mergeCell ref="B60:B63"/>
    <mergeCell ref="B64:B65"/>
    <mergeCell ref="A98:A100"/>
    <mergeCell ref="A101:A103"/>
    <mergeCell ref="A64:A65"/>
    <mergeCell ref="A66:A68"/>
    <mergeCell ref="A69:A71"/>
    <mergeCell ref="A72:A77"/>
    <mergeCell ref="A82:A84"/>
    <mergeCell ref="A85:A89"/>
    <mergeCell ref="A90:A97"/>
  </mergeCells>
  <dataValidations>
    <dataValidation type="list" allowBlank="1" showErrorMessage="1" sqref="D7">
      <formula1>"Guest,Customer,Shop Owner,Delivery,Admin,System,All"</formula1>
    </dataValidation>
    <dataValidation type="list" allowBlank="1" showErrorMessage="1" sqref="D2:D4 D6 D8:D33 D35:D104">
      <formula1>"Guest,Customer,Shop Owner,Delivery,Admin,All,System"</formula1>
    </dataValidation>
    <dataValidation type="list" allowBlank="1" showErrorMessage="1" sqref="D5">
      <formula1>"Guest,Customer,Shop Owner,Delivery,Admin,All,System"</formula1>
    </dataValidation>
    <dataValidation type="list" allowBlank="1" showErrorMessage="1" sqref="F2:F104">
      <formula1>"HoangDMHE191087,Duong,Khang,Hai,Quan"</formula1>
    </dataValidation>
    <dataValidation type="list" allowBlank="1" showErrorMessage="1" sqref="H2:H104">
      <formula1>"To Do,Doing,Updated,Done"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75"/>
    <col customWidth="1" min="2" max="2" width="31.63"/>
    <col customWidth="1" min="3" max="3" width="37.5"/>
    <col customWidth="1" hidden="1" min="4" max="4" width="41.13"/>
    <col customWidth="1" hidden="1" min="5" max="5" width="125.13"/>
    <col customWidth="1" min="6" max="6" width="24.63"/>
    <col customWidth="1" min="7" max="7" width="11.38"/>
    <col customWidth="1" min="8" max="8" width="8.63"/>
    <col customWidth="1" min="9" max="9" width="18.63"/>
    <col customWidth="1" min="10" max="10" width="25.75"/>
    <col customWidth="1" min="11" max="24" width="10.75"/>
  </cols>
  <sheetData>
    <row r="1">
      <c r="A1" s="29" t="s">
        <v>0</v>
      </c>
      <c r="B1" s="29" t="s">
        <v>1</v>
      </c>
      <c r="C1" s="29" t="s">
        <v>368</v>
      </c>
      <c r="D1" s="30" t="s">
        <v>3</v>
      </c>
      <c r="E1" s="30" t="s">
        <v>4</v>
      </c>
      <c r="F1" s="29" t="s">
        <v>5</v>
      </c>
      <c r="G1" s="30" t="s">
        <v>7</v>
      </c>
      <c r="H1" s="30"/>
      <c r="I1" s="30" t="s">
        <v>11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31" t="s">
        <v>369</v>
      </c>
      <c r="B2" s="32"/>
      <c r="C2" s="32"/>
      <c r="D2" s="32"/>
      <c r="E2" s="32"/>
      <c r="F2" s="32"/>
      <c r="G2" s="32"/>
      <c r="H2" s="32"/>
      <c r="I2" s="33"/>
      <c r="J2" s="1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34">
        <v>1.0</v>
      </c>
      <c r="B3" s="35" t="s">
        <v>370</v>
      </c>
      <c r="C3" s="36" t="s">
        <v>371</v>
      </c>
      <c r="D3" s="37"/>
      <c r="E3" s="37"/>
      <c r="F3" s="36" t="s">
        <v>120</v>
      </c>
      <c r="G3" s="37" t="s">
        <v>18</v>
      </c>
      <c r="H3" s="38"/>
      <c r="I3" s="37"/>
      <c r="J3" s="1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2"/>
      <c r="B4" s="12"/>
      <c r="C4" s="36" t="s">
        <v>372</v>
      </c>
      <c r="D4" s="37"/>
      <c r="E4" s="37"/>
      <c r="F4" s="36" t="s">
        <v>120</v>
      </c>
      <c r="G4" s="37" t="s">
        <v>18</v>
      </c>
      <c r="H4" s="38"/>
      <c r="I4" s="37"/>
      <c r="J4" s="1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5"/>
      <c r="B5" s="15"/>
      <c r="C5" s="37"/>
      <c r="D5" s="37"/>
      <c r="E5" s="37"/>
      <c r="F5" s="36" t="s">
        <v>120</v>
      </c>
      <c r="G5" s="37" t="s">
        <v>18</v>
      </c>
      <c r="H5" s="38"/>
      <c r="I5" s="37"/>
      <c r="J5" s="1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4">
        <v>2.0</v>
      </c>
      <c r="B6" s="35" t="s">
        <v>373</v>
      </c>
      <c r="C6" s="36" t="s">
        <v>374</v>
      </c>
      <c r="D6" s="37"/>
      <c r="E6" s="37"/>
      <c r="F6" s="36" t="s">
        <v>120</v>
      </c>
      <c r="G6" s="37" t="s">
        <v>18</v>
      </c>
      <c r="H6" s="38"/>
      <c r="I6" s="37"/>
      <c r="J6" s="1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2"/>
      <c r="B7" s="12"/>
      <c r="C7" s="36" t="s">
        <v>375</v>
      </c>
      <c r="D7" s="37"/>
      <c r="E7" s="37"/>
      <c r="F7" s="36" t="s">
        <v>120</v>
      </c>
      <c r="G7" s="37" t="s">
        <v>18</v>
      </c>
      <c r="H7" s="38"/>
      <c r="I7" s="37"/>
      <c r="J7" s="1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2"/>
      <c r="B8" s="12"/>
      <c r="C8" s="36" t="s">
        <v>376</v>
      </c>
      <c r="D8" s="37"/>
      <c r="E8" s="37"/>
      <c r="F8" s="36" t="s">
        <v>120</v>
      </c>
      <c r="G8" s="37" t="s">
        <v>18</v>
      </c>
      <c r="H8" s="38"/>
      <c r="I8" s="37"/>
      <c r="J8" s="1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5"/>
      <c r="B9" s="15"/>
      <c r="C9" s="36"/>
      <c r="D9" s="37"/>
      <c r="E9" s="37"/>
      <c r="F9" s="36" t="s">
        <v>120</v>
      </c>
      <c r="G9" s="37" t="s">
        <v>18</v>
      </c>
      <c r="H9" s="38"/>
      <c r="I9" s="37"/>
      <c r="J9" s="1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4">
        <v>3.0</v>
      </c>
      <c r="B10" s="35" t="s">
        <v>377</v>
      </c>
      <c r="C10" s="36" t="s">
        <v>378</v>
      </c>
      <c r="D10" s="37"/>
      <c r="E10" s="37"/>
      <c r="F10" s="36" t="s">
        <v>120</v>
      </c>
      <c r="G10" s="37" t="s">
        <v>18</v>
      </c>
      <c r="H10" s="37"/>
      <c r="I10" s="37"/>
      <c r="J10" s="1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2"/>
      <c r="B11" s="12"/>
      <c r="C11" s="36" t="s">
        <v>379</v>
      </c>
      <c r="D11" s="37"/>
      <c r="E11" s="37"/>
      <c r="F11" s="36" t="s">
        <v>380</v>
      </c>
      <c r="G11" s="37" t="s">
        <v>18</v>
      </c>
      <c r="H11" s="37"/>
      <c r="I11" s="37"/>
      <c r="J11" s="1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5"/>
      <c r="B12" s="15"/>
      <c r="C12" s="36" t="s">
        <v>381</v>
      </c>
      <c r="D12" s="37"/>
      <c r="E12" s="37"/>
      <c r="F12" s="36" t="s">
        <v>120</v>
      </c>
      <c r="G12" s="36" t="s">
        <v>18</v>
      </c>
      <c r="H12" s="37"/>
      <c r="I12" s="37"/>
      <c r="J12" s="1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34">
        <v>4.0</v>
      </c>
      <c r="B13" s="35" t="s">
        <v>382</v>
      </c>
      <c r="C13" s="36" t="s">
        <v>383</v>
      </c>
      <c r="D13" s="37"/>
      <c r="E13" s="37"/>
      <c r="F13" s="36" t="s">
        <v>120</v>
      </c>
      <c r="G13" s="37" t="s">
        <v>18</v>
      </c>
      <c r="H13" s="37"/>
      <c r="I13" s="37"/>
      <c r="J13" s="1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5"/>
      <c r="B14" s="15"/>
      <c r="C14" s="36" t="s">
        <v>384</v>
      </c>
      <c r="D14" s="37"/>
      <c r="E14" s="37"/>
      <c r="F14" s="36" t="s">
        <v>120</v>
      </c>
      <c r="G14" s="37" t="s">
        <v>18</v>
      </c>
      <c r="H14" s="37"/>
      <c r="I14" s="37"/>
      <c r="J14" s="1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37">
        <v>5.0</v>
      </c>
      <c r="B15" s="35" t="s">
        <v>385</v>
      </c>
      <c r="C15" s="35" t="s">
        <v>386</v>
      </c>
      <c r="D15" s="37"/>
      <c r="E15" s="37"/>
      <c r="F15" s="36" t="s">
        <v>380</v>
      </c>
      <c r="G15" s="36" t="s">
        <v>18</v>
      </c>
      <c r="H15" s="37"/>
      <c r="I15" s="37"/>
      <c r="J15" s="1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34">
        <v>6.0</v>
      </c>
      <c r="B16" s="12"/>
      <c r="C16" s="12"/>
      <c r="D16" s="37"/>
      <c r="E16" s="37"/>
      <c r="F16" s="36" t="s">
        <v>380</v>
      </c>
      <c r="G16" s="37" t="s">
        <v>18</v>
      </c>
      <c r="H16" s="38"/>
      <c r="I16" s="37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2"/>
      <c r="B17" s="12"/>
      <c r="C17" s="12"/>
      <c r="D17" s="37"/>
      <c r="E17" s="37"/>
      <c r="F17" s="36" t="s">
        <v>380</v>
      </c>
      <c r="G17" s="37" t="s">
        <v>18</v>
      </c>
      <c r="H17" s="37"/>
      <c r="I17" s="37"/>
      <c r="J17" s="1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2"/>
      <c r="B18" s="12"/>
      <c r="C18" s="12"/>
      <c r="D18" s="37"/>
      <c r="E18" s="37"/>
      <c r="F18" s="36" t="s">
        <v>380</v>
      </c>
      <c r="G18" s="37" t="s">
        <v>18</v>
      </c>
      <c r="H18" s="38"/>
      <c r="I18" s="37"/>
      <c r="J18" s="1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2"/>
      <c r="B19" s="12"/>
      <c r="C19" s="12"/>
      <c r="D19" s="37"/>
      <c r="E19" s="37"/>
      <c r="F19" s="36" t="s">
        <v>380</v>
      </c>
      <c r="G19" s="36" t="s">
        <v>18</v>
      </c>
      <c r="H19" s="37"/>
      <c r="I19" s="37"/>
      <c r="J19" s="1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5"/>
      <c r="B20" s="15"/>
      <c r="C20" s="15"/>
      <c r="D20" s="37"/>
      <c r="E20" s="37"/>
      <c r="F20" s="36" t="s">
        <v>380</v>
      </c>
      <c r="G20" s="37" t="s">
        <v>18</v>
      </c>
      <c r="H20" s="38"/>
      <c r="I20" s="37"/>
      <c r="J20" s="1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34">
        <v>7.0</v>
      </c>
      <c r="B21" s="35" t="s">
        <v>387</v>
      </c>
      <c r="C21" s="36" t="s">
        <v>388</v>
      </c>
      <c r="D21" s="37"/>
      <c r="E21" s="37"/>
      <c r="F21" s="36" t="s">
        <v>380</v>
      </c>
      <c r="G21" s="37" t="s">
        <v>18</v>
      </c>
      <c r="H21" s="37"/>
      <c r="I21" s="37"/>
      <c r="J21" s="1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2"/>
      <c r="B22" s="12"/>
      <c r="C22" s="36" t="s">
        <v>389</v>
      </c>
      <c r="D22" s="37"/>
      <c r="E22" s="37"/>
      <c r="F22" s="36" t="s">
        <v>84</v>
      </c>
      <c r="G22" s="37" t="s">
        <v>18</v>
      </c>
      <c r="H22" s="37"/>
      <c r="I22" s="37"/>
      <c r="J22" s="1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2"/>
      <c r="B23" s="12"/>
      <c r="C23" s="36" t="s">
        <v>390</v>
      </c>
      <c r="D23" s="37"/>
      <c r="E23" s="37"/>
      <c r="F23" s="36" t="s">
        <v>99</v>
      </c>
      <c r="G23" s="37" t="s">
        <v>18</v>
      </c>
      <c r="H23" s="37"/>
      <c r="I23" s="37"/>
      <c r="J23" s="1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5"/>
      <c r="B24" s="15"/>
      <c r="C24" s="36" t="s">
        <v>391</v>
      </c>
      <c r="D24" s="37"/>
      <c r="E24" s="37"/>
      <c r="F24" s="36" t="s">
        <v>380</v>
      </c>
      <c r="G24" s="36" t="s">
        <v>18</v>
      </c>
      <c r="H24" s="37"/>
      <c r="I24" s="37"/>
      <c r="J24" s="1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34">
        <v>8.0</v>
      </c>
      <c r="B25" s="35" t="s">
        <v>392</v>
      </c>
      <c r="C25" s="35" t="s">
        <v>393</v>
      </c>
      <c r="D25" s="37"/>
      <c r="E25" s="37"/>
      <c r="F25" s="36" t="s">
        <v>380</v>
      </c>
      <c r="G25" s="36" t="s">
        <v>18</v>
      </c>
      <c r="H25" s="38"/>
      <c r="I25" s="37"/>
      <c r="J25" s="1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12"/>
      <c r="B26" s="12"/>
      <c r="C26" s="12"/>
      <c r="D26" s="37"/>
      <c r="E26" s="37"/>
      <c r="F26" s="36" t="s">
        <v>380</v>
      </c>
      <c r="G26" s="36" t="s">
        <v>18</v>
      </c>
      <c r="H26" s="38"/>
      <c r="I26" s="37"/>
      <c r="J26" s="1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2"/>
      <c r="B27" s="12"/>
      <c r="C27" s="12"/>
      <c r="D27" s="37"/>
      <c r="E27" s="37"/>
      <c r="F27" s="36" t="s">
        <v>380</v>
      </c>
      <c r="G27" s="36" t="s">
        <v>18</v>
      </c>
      <c r="H27" s="38"/>
      <c r="I27" s="37"/>
      <c r="J27" s="1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12"/>
      <c r="B28" s="12"/>
      <c r="C28" s="12"/>
      <c r="D28" s="37"/>
      <c r="E28" s="37"/>
      <c r="F28" s="36" t="s">
        <v>380</v>
      </c>
      <c r="G28" s="36" t="s">
        <v>18</v>
      </c>
      <c r="H28" s="38"/>
      <c r="I28" s="37"/>
      <c r="J28" s="1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15"/>
      <c r="B29" s="15"/>
      <c r="C29" s="15"/>
      <c r="D29" s="37"/>
      <c r="E29" s="37"/>
      <c r="F29" s="36" t="s">
        <v>380</v>
      </c>
      <c r="G29" s="36" t="s">
        <v>18</v>
      </c>
      <c r="H29" s="38"/>
      <c r="I29" s="37"/>
      <c r="J29" s="1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37">
        <v>9.0</v>
      </c>
      <c r="B30" s="35" t="s">
        <v>394</v>
      </c>
      <c r="C30" s="36" t="s">
        <v>395</v>
      </c>
      <c r="D30" s="37"/>
      <c r="E30" s="37"/>
      <c r="F30" s="36" t="s">
        <v>99</v>
      </c>
      <c r="G30" s="37" t="s">
        <v>18</v>
      </c>
      <c r="H30" s="37"/>
      <c r="I30" s="37"/>
      <c r="J30" s="1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37">
        <v>10.0</v>
      </c>
      <c r="B31" s="15"/>
      <c r="C31" s="36" t="s">
        <v>396</v>
      </c>
      <c r="D31" s="37"/>
      <c r="E31" s="37"/>
      <c r="F31" s="36" t="s">
        <v>99</v>
      </c>
      <c r="G31" s="36" t="s">
        <v>18</v>
      </c>
      <c r="H31" s="37"/>
      <c r="I31" s="37"/>
      <c r="J31" s="1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34">
        <v>11.0</v>
      </c>
      <c r="B32" s="35" t="s">
        <v>397</v>
      </c>
      <c r="C32" s="36" t="s">
        <v>398</v>
      </c>
      <c r="D32" s="37"/>
      <c r="E32" s="37"/>
      <c r="F32" s="36" t="s">
        <v>380</v>
      </c>
      <c r="G32" s="36" t="s">
        <v>18</v>
      </c>
      <c r="H32" s="37"/>
      <c r="I32" s="37"/>
      <c r="J32" s="1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2"/>
      <c r="B33" s="12"/>
      <c r="C33" s="36" t="s">
        <v>399</v>
      </c>
      <c r="D33" s="37"/>
      <c r="E33" s="37"/>
      <c r="F33" s="36" t="s">
        <v>84</v>
      </c>
      <c r="G33" s="36" t="s">
        <v>18</v>
      </c>
      <c r="H33" s="37"/>
      <c r="I33" s="37"/>
      <c r="J33" s="1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15"/>
      <c r="B34" s="15"/>
      <c r="C34" s="36" t="s">
        <v>400</v>
      </c>
      <c r="D34" s="37"/>
      <c r="E34" s="37"/>
      <c r="F34" s="36" t="s">
        <v>84</v>
      </c>
      <c r="G34" s="36" t="s">
        <v>18</v>
      </c>
      <c r="H34" s="37"/>
      <c r="I34" s="37"/>
      <c r="J34" s="1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3.5" customHeight="1">
      <c r="A35" s="31" t="s">
        <v>401</v>
      </c>
      <c r="B35" s="32"/>
      <c r="C35" s="32"/>
      <c r="D35" s="32"/>
      <c r="E35" s="32"/>
      <c r="F35" s="32"/>
      <c r="G35" s="32"/>
      <c r="H35" s="32"/>
      <c r="I35" s="33"/>
      <c r="J35" s="1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37"/>
      <c r="B36" s="36" t="s">
        <v>402</v>
      </c>
      <c r="C36" s="37"/>
      <c r="D36" s="37"/>
      <c r="E36" s="37"/>
      <c r="F36" s="36" t="s">
        <v>380</v>
      </c>
      <c r="G36" s="36" t="s">
        <v>18</v>
      </c>
      <c r="H36" s="39"/>
      <c r="I36" s="39"/>
      <c r="J36" s="1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37"/>
      <c r="B37" s="36" t="s">
        <v>403</v>
      </c>
      <c r="C37" s="37"/>
      <c r="D37" s="37"/>
      <c r="E37" s="37"/>
      <c r="F37" s="36" t="s">
        <v>380</v>
      </c>
      <c r="G37" s="36" t="s">
        <v>18</v>
      </c>
      <c r="H37" s="39"/>
      <c r="I37" s="39"/>
      <c r="J37" s="1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37"/>
      <c r="B38" s="36" t="s">
        <v>404</v>
      </c>
      <c r="C38" s="37"/>
      <c r="D38" s="37"/>
      <c r="E38" s="37"/>
      <c r="F38" s="36" t="s">
        <v>380</v>
      </c>
      <c r="G38" s="36" t="s">
        <v>18</v>
      </c>
      <c r="H38" s="39"/>
      <c r="I38" s="39"/>
      <c r="J38" s="1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37"/>
      <c r="B39" s="36" t="s">
        <v>405</v>
      </c>
      <c r="C39" s="37"/>
      <c r="D39" s="37"/>
      <c r="E39" s="37"/>
      <c r="F39" s="36" t="s">
        <v>380</v>
      </c>
      <c r="G39" s="36" t="s">
        <v>18</v>
      </c>
      <c r="H39" s="39"/>
      <c r="I39" s="39"/>
      <c r="J39" s="1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37"/>
      <c r="B40" s="36" t="s">
        <v>406</v>
      </c>
      <c r="C40" s="37"/>
      <c r="D40" s="37"/>
      <c r="E40" s="37"/>
      <c r="F40" s="36" t="s">
        <v>380</v>
      </c>
      <c r="G40" s="36" t="s">
        <v>18</v>
      </c>
      <c r="H40" s="39"/>
      <c r="I40" s="39"/>
      <c r="J40" s="1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37"/>
      <c r="B41" s="36" t="s">
        <v>407</v>
      </c>
      <c r="C41" s="37"/>
      <c r="D41" s="37"/>
      <c r="E41" s="37"/>
      <c r="F41" s="36" t="s">
        <v>380</v>
      </c>
      <c r="G41" s="36" t="s">
        <v>18</v>
      </c>
      <c r="H41" s="39"/>
      <c r="I41" s="39"/>
      <c r="J41" s="1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40"/>
      <c r="B42" s="40"/>
      <c r="C42" s="41"/>
      <c r="D42" s="42"/>
      <c r="E42" s="43"/>
      <c r="F42" s="5"/>
      <c r="G42" s="5"/>
      <c r="H42" s="28"/>
      <c r="I42" s="28"/>
      <c r="J42" s="1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40"/>
      <c r="B43" s="40"/>
      <c r="C43" s="41"/>
      <c r="D43" s="44"/>
      <c r="E43" s="45"/>
      <c r="F43" s="5"/>
      <c r="G43" s="5"/>
      <c r="H43" s="28"/>
      <c r="I43" s="28"/>
      <c r="J43" s="1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40"/>
      <c r="B44" s="40"/>
      <c r="C44" s="41"/>
      <c r="D44" s="44"/>
      <c r="E44" s="45"/>
      <c r="F44" s="5"/>
      <c r="G44" s="5"/>
      <c r="H44" s="28"/>
      <c r="I44" s="28"/>
      <c r="J44" s="1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40"/>
      <c r="B45" s="40"/>
      <c r="C45" s="41"/>
      <c r="D45" s="44"/>
      <c r="E45" s="45"/>
      <c r="F45" s="5"/>
      <c r="G45" s="5"/>
      <c r="H45" s="28"/>
      <c r="I45" s="28"/>
      <c r="J45" s="1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40"/>
      <c r="B46" s="40"/>
      <c r="C46" s="41"/>
      <c r="D46" s="44"/>
      <c r="E46" s="44"/>
      <c r="F46" s="5"/>
      <c r="G46" s="5"/>
      <c r="H46" s="28"/>
      <c r="I46" s="28"/>
      <c r="J46" s="1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40"/>
      <c r="B47" s="40"/>
      <c r="C47" s="41"/>
      <c r="D47" s="44"/>
      <c r="E47" s="44"/>
      <c r="F47" s="5"/>
      <c r="G47" s="5"/>
      <c r="H47" s="28"/>
      <c r="I47" s="28"/>
      <c r="J47" s="1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40"/>
      <c r="B48" s="40"/>
      <c r="C48" s="41"/>
      <c r="D48" s="44"/>
      <c r="E48" s="45"/>
      <c r="F48" s="5"/>
      <c r="G48" s="5"/>
      <c r="H48" s="28"/>
      <c r="I48" s="28"/>
      <c r="J48" s="1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40"/>
      <c r="B49" s="40"/>
      <c r="C49" s="41"/>
      <c r="D49" s="44"/>
      <c r="E49" s="45"/>
      <c r="F49" s="5"/>
      <c r="G49" s="5"/>
      <c r="H49" s="28"/>
      <c r="I49" s="28"/>
      <c r="J49" s="1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40"/>
      <c r="B50" s="40"/>
      <c r="C50" s="41"/>
      <c r="D50" s="44"/>
      <c r="E50" s="45"/>
      <c r="F50" s="5"/>
      <c r="G50" s="5"/>
      <c r="H50" s="28"/>
      <c r="I50" s="28"/>
      <c r="J50" s="1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40"/>
      <c r="B51" s="40"/>
      <c r="C51" s="41"/>
      <c r="D51" s="44"/>
      <c r="E51" s="45"/>
      <c r="F51" s="5"/>
      <c r="G51" s="5"/>
      <c r="H51" s="28"/>
      <c r="I51" s="28"/>
      <c r="J51" s="1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40"/>
      <c r="B52" s="40"/>
      <c r="C52" s="41"/>
      <c r="D52" s="44"/>
      <c r="E52" s="45"/>
      <c r="F52" s="5"/>
      <c r="G52" s="5"/>
      <c r="H52" s="28"/>
      <c r="I52" s="28"/>
      <c r="J52" s="1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40"/>
      <c r="B53" s="40"/>
      <c r="C53" s="41"/>
      <c r="D53" s="44"/>
      <c r="E53" s="45"/>
      <c r="F53" s="5"/>
      <c r="G53" s="5"/>
      <c r="H53" s="28"/>
      <c r="I53" s="28"/>
      <c r="J53" s="1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40"/>
      <c r="B54" s="40"/>
      <c r="C54" s="41"/>
      <c r="D54" s="44"/>
      <c r="E54" s="45"/>
      <c r="F54" s="5"/>
      <c r="G54" s="5"/>
      <c r="H54" s="28"/>
      <c r="I54" s="28"/>
      <c r="J54" s="1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40"/>
      <c r="B55" s="40"/>
      <c r="C55" s="41"/>
      <c r="D55" s="44"/>
      <c r="E55" s="45"/>
      <c r="F55" s="5"/>
      <c r="G55" s="5"/>
      <c r="H55" s="28"/>
      <c r="I55" s="28"/>
      <c r="J55" s="1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40"/>
      <c r="B56" s="40"/>
      <c r="C56" s="41"/>
      <c r="D56" s="44"/>
      <c r="E56" s="45"/>
      <c r="F56" s="5"/>
      <c r="G56" s="5"/>
      <c r="H56" s="28"/>
      <c r="I56" s="28"/>
      <c r="J56" s="1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40"/>
      <c r="B57" s="40"/>
      <c r="C57" s="41"/>
      <c r="D57" s="44"/>
      <c r="E57" s="45"/>
      <c r="F57" s="5"/>
      <c r="G57" s="5"/>
      <c r="H57" s="28"/>
      <c r="I57" s="28"/>
      <c r="J57" s="1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40"/>
      <c r="B58" s="40"/>
      <c r="C58" s="41"/>
      <c r="D58" s="44"/>
      <c r="E58" s="45"/>
      <c r="F58" s="5"/>
      <c r="G58" s="5"/>
      <c r="H58" s="28"/>
      <c r="I58" s="28"/>
      <c r="J58" s="1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40"/>
      <c r="B59" s="40"/>
      <c r="C59" s="41"/>
      <c r="D59" s="44"/>
      <c r="E59" s="45"/>
      <c r="F59" s="5"/>
      <c r="G59" s="5"/>
      <c r="H59" s="28"/>
      <c r="I59" s="28"/>
      <c r="J59" s="1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40"/>
      <c r="B60" s="40"/>
      <c r="C60" s="41"/>
      <c r="D60" s="44"/>
      <c r="E60" s="45"/>
      <c r="F60" s="5"/>
      <c r="G60" s="5"/>
      <c r="H60" s="28"/>
      <c r="I60" s="28"/>
      <c r="J60" s="1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40"/>
      <c r="B61" s="40"/>
      <c r="C61" s="41"/>
      <c r="D61" s="44"/>
      <c r="E61" s="45"/>
      <c r="F61" s="5"/>
      <c r="G61" s="5"/>
      <c r="H61" s="28"/>
      <c r="I61" s="28"/>
      <c r="J61" s="1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40"/>
      <c r="B62" s="40"/>
      <c r="C62" s="41"/>
      <c r="D62" s="44"/>
      <c r="E62" s="45"/>
      <c r="F62" s="5"/>
      <c r="G62" s="5"/>
      <c r="H62" s="28"/>
      <c r="I62" s="28"/>
      <c r="J62" s="1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40"/>
      <c r="B63" s="40"/>
      <c r="C63" s="41"/>
      <c r="D63" s="44"/>
      <c r="E63" s="45"/>
      <c r="F63" s="5"/>
      <c r="G63" s="5"/>
      <c r="H63" s="28"/>
      <c r="I63" s="28"/>
      <c r="J63" s="1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40"/>
      <c r="B64" s="40"/>
      <c r="C64" s="41"/>
      <c r="D64" s="44"/>
      <c r="E64" s="45"/>
      <c r="F64" s="5"/>
      <c r="G64" s="5"/>
      <c r="H64" s="28"/>
      <c r="I64" s="28"/>
      <c r="J64" s="1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40"/>
      <c r="B65" s="40"/>
      <c r="C65" s="41"/>
      <c r="D65" s="44"/>
      <c r="E65" s="45"/>
      <c r="F65" s="5"/>
      <c r="G65" s="5"/>
      <c r="H65" s="28"/>
      <c r="I65" s="28"/>
      <c r="J65" s="1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40"/>
      <c r="B66" s="40"/>
      <c r="C66" s="41"/>
      <c r="D66" s="44"/>
      <c r="E66" s="45"/>
      <c r="F66" s="5"/>
      <c r="G66" s="5"/>
      <c r="H66" s="28"/>
      <c r="I66" s="28"/>
      <c r="J66" s="1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40"/>
      <c r="B67" s="40"/>
      <c r="C67" s="41"/>
      <c r="D67" s="44"/>
      <c r="E67" s="45"/>
      <c r="F67" s="5"/>
      <c r="G67" s="5"/>
      <c r="H67" s="28"/>
      <c r="I67" s="28"/>
      <c r="J67" s="1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40"/>
      <c r="B68" s="40"/>
      <c r="C68" s="41"/>
      <c r="D68" s="44"/>
      <c r="E68" s="45"/>
      <c r="F68" s="5"/>
      <c r="G68" s="5"/>
      <c r="H68" s="28"/>
      <c r="I68" s="28"/>
      <c r="J68" s="1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40"/>
      <c r="B69" s="40"/>
      <c r="C69" s="41"/>
      <c r="D69" s="44"/>
      <c r="E69" s="44"/>
      <c r="F69" s="5"/>
      <c r="G69" s="5"/>
      <c r="H69" s="28"/>
      <c r="I69" s="28"/>
      <c r="J69" s="1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40"/>
      <c r="B70" s="40"/>
      <c r="C70" s="41"/>
      <c r="D70" s="44"/>
      <c r="E70" s="44"/>
      <c r="F70" s="5"/>
      <c r="G70" s="5"/>
      <c r="H70" s="28"/>
      <c r="I70" s="28"/>
      <c r="J70" s="1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40"/>
      <c r="B71" s="40"/>
      <c r="C71" s="41"/>
      <c r="D71" s="44"/>
      <c r="E71" s="45"/>
      <c r="F71" s="5"/>
      <c r="G71" s="5"/>
      <c r="H71" s="28"/>
      <c r="I71" s="28"/>
      <c r="J71" s="1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40"/>
      <c r="B72" s="40"/>
      <c r="C72" s="41"/>
      <c r="D72" s="44"/>
      <c r="E72" s="45"/>
      <c r="F72" s="5"/>
      <c r="G72" s="5"/>
      <c r="H72" s="28"/>
      <c r="I72" s="28"/>
      <c r="J72" s="1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40"/>
      <c r="B73" s="40"/>
      <c r="C73" s="41"/>
      <c r="D73" s="44"/>
      <c r="E73" s="45"/>
      <c r="F73" s="5"/>
      <c r="G73" s="5"/>
      <c r="H73" s="28"/>
      <c r="I73" s="28"/>
      <c r="J73" s="1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40"/>
      <c r="B74" s="40"/>
      <c r="C74" s="41"/>
      <c r="D74" s="44"/>
      <c r="E74" s="45"/>
      <c r="F74" s="5"/>
      <c r="G74" s="5"/>
      <c r="H74" s="28"/>
      <c r="I74" s="28"/>
      <c r="J74" s="1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40"/>
      <c r="B75" s="40"/>
      <c r="C75" s="41"/>
      <c r="D75" s="44"/>
      <c r="E75" s="45"/>
      <c r="F75" s="5"/>
      <c r="G75" s="5"/>
      <c r="H75" s="28"/>
      <c r="I75" s="28"/>
      <c r="J75" s="1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40"/>
      <c r="B76" s="40"/>
      <c r="C76" s="41"/>
      <c r="D76" s="44"/>
      <c r="E76" s="45"/>
      <c r="F76" s="5"/>
      <c r="G76" s="5"/>
      <c r="H76" s="28"/>
      <c r="I76" s="28"/>
      <c r="J76" s="1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40"/>
      <c r="B77" s="40"/>
      <c r="C77" s="41"/>
      <c r="D77" s="44"/>
      <c r="E77" s="45"/>
      <c r="F77" s="5"/>
      <c r="G77" s="5"/>
      <c r="H77" s="28"/>
      <c r="I77" s="28"/>
      <c r="J77" s="1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40"/>
      <c r="B78" s="40"/>
      <c r="C78" s="41"/>
      <c r="D78" s="44"/>
      <c r="E78" s="45"/>
      <c r="F78" s="5"/>
      <c r="G78" s="5"/>
      <c r="H78" s="28"/>
      <c r="I78" s="28"/>
      <c r="J78" s="1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40"/>
      <c r="B79" s="40"/>
      <c r="C79" s="41"/>
      <c r="D79" s="44"/>
      <c r="E79" s="45"/>
      <c r="F79" s="5"/>
      <c r="G79" s="5"/>
      <c r="H79" s="28"/>
      <c r="I79" s="28"/>
      <c r="J79" s="1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40"/>
      <c r="B80" s="40"/>
      <c r="C80" s="41"/>
      <c r="D80" s="44"/>
      <c r="E80" s="45"/>
      <c r="F80" s="5"/>
      <c r="G80" s="5"/>
      <c r="H80" s="28"/>
      <c r="I80" s="28"/>
      <c r="J80" s="1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40"/>
      <c r="B81" s="40"/>
      <c r="C81" s="41"/>
      <c r="D81" s="44"/>
      <c r="E81" s="45"/>
      <c r="F81" s="5"/>
      <c r="G81" s="5"/>
      <c r="H81" s="28"/>
      <c r="I81" s="28"/>
      <c r="J81" s="1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40"/>
      <c r="B82" s="40"/>
      <c r="C82" s="41"/>
      <c r="D82" s="44"/>
      <c r="E82" s="45"/>
      <c r="F82" s="5"/>
      <c r="G82" s="5"/>
      <c r="H82" s="28"/>
      <c r="I82" s="28"/>
      <c r="J82" s="1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40"/>
      <c r="B83" s="40"/>
      <c r="C83" s="41"/>
      <c r="D83" s="44"/>
      <c r="E83" s="45"/>
      <c r="F83" s="5"/>
      <c r="G83" s="5"/>
      <c r="H83" s="28"/>
      <c r="I83" s="28"/>
      <c r="J83" s="1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40"/>
      <c r="B84" s="40"/>
      <c r="C84" s="41"/>
      <c r="D84" s="44"/>
      <c r="E84" s="45"/>
      <c r="F84" s="5"/>
      <c r="G84" s="5"/>
      <c r="H84" s="28"/>
      <c r="I84" s="28"/>
      <c r="J84" s="1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40"/>
      <c r="B85" s="40"/>
      <c r="C85" s="41"/>
      <c r="D85" s="44"/>
      <c r="E85" s="45"/>
      <c r="F85" s="5"/>
      <c r="G85" s="5"/>
      <c r="H85" s="28"/>
      <c r="I85" s="28"/>
      <c r="J85" s="1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40"/>
      <c r="B86" s="40"/>
      <c r="C86" s="41"/>
      <c r="D86" s="44"/>
      <c r="E86" s="45"/>
      <c r="F86" s="5"/>
      <c r="G86" s="5"/>
      <c r="H86" s="28"/>
      <c r="I86" s="28"/>
      <c r="J86" s="1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40"/>
      <c r="B87" s="40"/>
      <c r="C87" s="41"/>
      <c r="D87" s="44"/>
      <c r="E87" s="45"/>
      <c r="F87" s="5"/>
      <c r="G87" s="5"/>
      <c r="H87" s="28"/>
      <c r="I87" s="28"/>
      <c r="J87" s="1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40"/>
      <c r="B88" s="40"/>
      <c r="C88" s="41"/>
      <c r="D88" s="44"/>
      <c r="E88" s="45"/>
      <c r="F88" s="5"/>
      <c r="G88" s="5"/>
      <c r="H88" s="28"/>
      <c r="I88" s="28"/>
      <c r="J88" s="1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40"/>
      <c r="B89" s="40"/>
      <c r="C89" s="41"/>
      <c r="D89" s="44"/>
      <c r="E89" s="45"/>
      <c r="F89" s="5"/>
      <c r="G89" s="5"/>
      <c r="H89" s="28"/>
      <c r="I89" s="28"/>
      <c r="J89" s="1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40"/>
      <c r="B90" s="40"/>
      <c r="C90" s="41"/>
      <c r="D90" s="44"/>
      <c r="E90" s="45"/>
      <c r="F90" s="5"/>
      <c r="G90" s="5"/>
      <c r="H90" s="28"/>
      <c r="I90" s="28"/>
      <c r="J90" s="1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40"/>
      <c r="B91" s="40"/>
      <c r="C91" s="41"/>
      <c r="D91" s="44"/>
      <c r="E91" s="45"/>
      <c r="F91" s="5"/>
      <c r="G91" s="5"/>
      <c r="H91" s="28"/>
      <c r="I91" s="28"/>
      <c r="J91" s="1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40"/>
      <c r="B92" s="40"/>
      <c r="C92" s="41"/>
      <c r="D92" s="44"/>
      <c r="E92" s="45"/>
      <c r="F92" s="5"/>
      <c r="G92" s="5"/>
      <c r="H92" s="28"/>
      <c r="I92" s="28"/>
      <c r="J92" s="1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40"/>
      <c r="B93" s="40"/>
      <c r="C93" s="41"/>
      <c r="D93" s="44"/>
      <c r="E93" s="45"/>
      <c r="F93" s="5"/>
      <c r="G93" s="5"/>
      <c r="H93" s="28"/>
      <c r="I93" s="28"/>
      <c r="J93" s="26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40"/>
      <c r="B94" s="40"/>
      <c r="C94" s="41"/>
      <c r="D94" s="44"/>
      <c r="E94" s="45"/>
      <c r="F94" s="5"/>
      <c r="G94" s="5"/>
      <c r="H94" s="28"/>
      <c r="I94" s="28"/>
      <c r="J94" s="26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40"/>
      <c r="B95" s="40"/>
      <c r="C95" s="41"/>
      <c r="D95" s="44"/>
      <c r="E95" s="45"/>
      <c r="F95" s="5"/>
      <c r="G95" s="5"/>
      <c r="H95" s="28"/>
      <c r="I95" s="28"/>
      <c r="J95" s="26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40"/>
      <c r="B96" s="40"/>
      <c r="C96" s="41"/>
      <c r="D96" s="44"/>
      <c r="E96" s="45"/>
      <c r="F96" s="5"/>
      <c r="G96" s="5"/>
      <c r="H96" s="28"/>
      <c r="I96" s="28"/>
      <c r="J96" s="26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40"/>
      <c r="B97" s="40"/>
      <c r="C97" s="41"/>
      <c r="D97" s="44"/>
      <c r="E97" s="45"/>
      <c r="F97" s="5"/>
      <c r="G97" s="5"/>
      <c r="H97" s="28"/>
      <c r="I97" s="28"/>
      <c r="J97" s="2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40"/>
      <c r="B98" s="40"/>
      <c r="C98" s="41"/>
      <c r="D98" s="44"/>
      <c r="E98" s="45"/>
      <c r="F98" s="5"/>
      <c r="G98" s="5"/>
      <c r="H98" s="28"/>
      <c r="I98" s="28"/>
      <c r="J98" s="26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40"/>
      <c r="B99" s="40"/>
      <c r="C99" s="41"/>
      <c r="D99" s="44"/>
      <c r="E99" s="45"/>
      <c r="F99" s="5"/>
      <c r="G99" s="5"/>
      <c r="H99" s="28"/>
      <c r="I99" s="28"/>
      <c r="J99" s="2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40"/>
      <c r="B100" s="40"/>
      <c r="C100" s="41"/>
      <c r="D100" s="44"/>
      <c r="E100" s="45"/>
      <c r="F100" s="5"/>
      <c r="G100" s="5"/>
      <c r="H100" s="28"/>
      <c r="I100" s="28"/>
      <c r="J100" s="2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40"/>
      <c r="B101" s="40"/>
      <c r="C101" s="41"/>
      <c r="D101" s="44"/>
      <c r="E101" s="45"/>
      <c r="F101" s="5"/>
      <c r="G101" s="5"/>
      <c r="H101" s="28"/>
      <c r="I101" s="28"/>
      <c r="J101" s="2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40"/>
      <c r="B102" s="40"/>
      <c r="C102" s="41"/>
      <c r="D102" s="44"/>
      <c r="E102" s="45"/>
      <c r="F102" s="5"/>
      <c r="G102" s="5"/>
      <c r="H102" s="28"/>
      <c r="I102" s="28"/>
      <c r="J102" s="2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46"/>
      <c r="B103" s="46"/>
      <c r="C103" s="47"/>
      <c r="D103" s="44"/>
      <c r="E103" s="45"/>
      <c r="F103" s="5"/>
      <c r="G103" s="5"/>
      <c r="H103" s="28"/>
      <c r="I103" s="2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27"/>
      <c r="B104" s="5"/>
      <c r="C104" s="5"/>
      <c r="D104" s="5"/>
      <c r="E104" s="5"/>
      <c r="F104" s="5"/>
      <c r="G104" s="5"/>
      <c r="H104" s="28"/>
      <c r="I104" s="2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28"/>
      <c r="I105" s="2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28"/>
      <c r="I106" s="2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28"/>
      <c r="I107" s="2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28"/>
      <c r="I108" s="2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28"/>
      <c r="I109" s="2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28"/>
      <c r="I110" s="2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28"/>
      <c r="I111" s="2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28"/>
      <c r="I112" s="2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28"/>
      <c r="I113" s="2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28"/>
      <c r="I114" s="2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28"/>
      <c r="I115" s="2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28"/>
      <c r="I116" s="2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28"/>
      <c r="I117" s="2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28"/>
      <c r="I118" s="2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28"/>
      <c r="I119" s="2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28"/>
      <c r="I120" s="2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28"/>
      <c r="I121" s="2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28"/>
      <c r="I122" s="2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28"/>
      <c r="I123" s="2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28"/>
      <c r="I124" s="2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28"/>
      <c r="I125" s="2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28"/>
      <c r="I126" s="2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28"/>
      <c r="I127" s="2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28"/>
      <c r="I128" s="2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28"/>
      <c r="I129" s="2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28"/>
      <c r="I130" s="2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28"/>
      <c r="I131" s="2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28"/>
      <c r="I132" s="2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28"/>
      <c r="I133" s="2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28"/>
      <c r="I134" s="2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28"/>
      <c r="I135" s="2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28"/>
      <c r="I136" s="2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28"/>
      <c r="I137" s="2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28"/>
      <c r="I138" s="2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28"/>
      <c r="I139" s="2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28"/>
      <c r="I140" s="2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28"/>
      <c r="I141" s="2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28"/>
      <c r="I142" s="2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28"/>
      <c r="I143" s="2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28"/>
      <c r="I144" s="2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28"/>
      <c r="I145" s="2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28"/>
      <c r="I146" s="2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28"/>
      <c r="I147" s="2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28"/>
      <c r="I148" s="2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28"/>
      <c r="I149" s="2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28"/>
      <c r="I150" s="2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28"/>
      <c r="I151" s="2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28"/>
      <c r="I152" s="2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28"/>
      <c r="I153" s="2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28"/>
      <c r="I154" s="2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28"/>
      <c r="I155" s="2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28"/>
      <c r="I156" s="2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28"/>
      <c r="I157" s="2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28"/>
      <c r="I158" s="2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28"/>
      <c r="I159" s="2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28"/>
      <c r="I160" s="2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28"/>
      <c r="I161" s="2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28"/>
      <c r="I162" s="2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28"/>
      <c r="I163" s="2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28"/>
      <c r="I164" s="2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28"/>
      <c r="I165" s="2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28"/>
      <c r="I166" s="2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28"/>
      <c r="I167" s="2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28"/>
      <c r="I168" s="2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28"/>
      <c r="I169" s="2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28"/>
      <c r="I170" s="2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28"/>
      <c r="I171" s="2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28"/>
      <c r="I172" s="2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28"/>
      <c r="I173" s="2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28"/>
      <c r="I174" s="2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28"/>
      <c r="I175" s="2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28"/>
      <c r="I176" s="2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28"/>
      <c r="I177" s="2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28"/>
      <c r="I178" s="2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28"/>
      <c r="I179" s="2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28"/>
      <c r="I180" s="2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28"/>
      <c r="I181" s="2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28"/>
      <c r="I182" s="2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28"/>
      <c r="I183" s="2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28"/>
      <c r="I184" s="2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28"/>
      <c r="I185" s="2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28"/>
      <c r="I186" s="2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28"/>
      <c r="I187" s="2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28"/>
      <c r="I188" s="2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28"/>
      <c r="I189" s="2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28"/>
      <c r="I190" s="2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28"/>
      <c r="I191" s="2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28"/>
      <c r="I192" s="2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28"/>
      <c r="I193" s="2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28"/>
      <c r="I194" s="2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28"/>
      <c r="I195" s="2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28"/>
      <c r="I196" s="2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28"/>
      <c r="I197" s="2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28"/>
      <c r="I198" s="2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28"/>
      <c r="I199" s="2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28"/>
      <c r="I200" s="2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28"/>
      <c r="I201" s="2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28"/>
      <c r="I202" s="2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28"/>
      <c r="I203" s="2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28"/>
      <c r="I204" s="2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28"/>
      <c r="I205" s="2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28"/>
      <c r="I206" s="2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28"/>
      <c r="I207" s="2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28"/>
      <c r="I208" s="2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28"/>
      <c r="I209" s="2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28"/>
      <c r="I210" s="2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28"/>
      <c r="I211" s="2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28"/>
      <c r="I212" s="2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28"/>
      <c r="I213" s="2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28"/>
      <c r="I214" s="2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28"/>
      <c r="I215" s="2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28"/>
      <c r="I216" s="2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28"/>
      <c r="I217" s="2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28"/>
      <c r="I218" s="2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28"/>
      <c r="I219" s="2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28"/>
      <c r="I220" s="2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28"/>
      <c r="I221" s="2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28"/>
      <c r="I222" s="2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28"/>
      <c r="I223" s="2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28"/>
      <c r="I224" s="2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28"/>
      <c r="I225" s="2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28"/>
      <c r="I226" s="2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28"/>
      <c r="I227" s="2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28"/>
      <c r="I228" s="2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28"/>
      <c r="I229" s="2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28"/>
      <c r="I230" s="2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28"/>
      <c r="I231" s="2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28"/>
      <c r="I232" s="2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28"/>
      <c r="I233" s="2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28"/>
      <c r="I234" s="2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28"/>
      <c r="I235" s="2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28"/>
      <c r="I236" s="2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28"/>
      <c r="I237" s="2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28"/>
      <c r="I238" s="2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28"/>
      <c r="I239" s="2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28"/>
      <c r="I240" s="2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28"/>
      <c r="I241" s="2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28"/>
      <c r="I242" s="2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28"/>
      <c r="I243" s="2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28"/>
      <c r="I244" s="2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28"/>
      <c r="I245" s="2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28"/>
      <c r="I246" s="2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28"/>
      <c r="I247" s="2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28"/>
      <c r="I248" s="2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28"/>
      <c r="I249" s="2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28"/>
      <c r="I250" s="2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28"/>
      <c r="I251" s="2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28"/>
      <c r="I252" s="2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28"/>
      <c r="I253" s="2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28"/>
      <c r="I254" s="2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28"/>
      <c r="I255" s="2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28"/>
      <c r="I256" s="2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28"/>
      <c r="I257" s="2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28"/>
      <c r="I258" s="2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28"/>
      <c r="I259" s="2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28"/>
      <c r="I260" s="2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28"/>
      <c r="I261" s="2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28"/>
      <c r="I262" s="2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28"/>
      <c r="I263" s="2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28"/>
      <c r="I264" s="2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28"/>
      <c r="I265" s="2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28"/>
      <c r="I266" s="2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28"/>
      <c r="I267" s="2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28"/>
      <c r="I268" s="2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28"/>
      <c r="I269" s="2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28"/>
      <c r="I270" s="2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28"/>
      <c r="I271" s="2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28"/>
      <c r="I272" s="2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28"/>
      <c r="I273" s="2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28"/>
      <c r="I274" s="2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28"/>
      <c r="I275" s="2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28"/>
      <c r="I276" s="2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28"/>
      <c r="I277" s="2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28"/>
      <c r="I278" s="2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28"/>
      <c r="I279" s="2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28"/>
      <c r="I280" s="2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28"/>
      <c r="I281" s="2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28"/>
      <c r="I282" s="2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28"/>
      <c r="I283" s="2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28"/>
      <c r="I284" s="2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28"/>
      <c r="I285" s="2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28"/>
      <c r="I286" s="2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28"/>
      <c r="I287" s="2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28"/>
      <c r="I288" s="2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28"/>
      <c r="I289" s="2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28"/>
      <c r="I290" s="2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28"/>
      <c r="I291" s="2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28"/>
      <c r="I292" s="2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28"/>
      <c r="I293" s="2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28"/>
      <c r="I294" s="2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28"/>
      <c r="I295" s="2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28"/>
      <c r="I296" s="2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28"/>
      <c r="I297" s="2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28"/>
      <c r="I298" s="2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28"/>
      <c r="I299" s="2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28"/>
      <c r="I300" s="2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28"/>
      <c r="I301" s="2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28"/>
      <c r="I302" s="2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28"/>
      <c r="I303" s="2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28"/>
      <c r="I304" s="2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28"/>
      <c r="I305" s="2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28"/>
      <c r="I306" s="2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28"/>
      <c r="I307" s="2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28"/>
      <c r="I308" s="2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28"/>
      <c r="I309" s="2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28"/>
      <c r="I310" s="2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28"/>
      <c r="I311" s="2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28"/>
      <c r="I312" s="2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28"/>
      <c r="I313" s="2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28"/>
      <c r="I314" s="2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28"/>
      <c r="I315" s="2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28"/>
      <c r="I316" s="2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28"/>
      <c r="I317" s="2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28"/>
      <c r="I318" s="2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28"/>
      <c r="I319" s="2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28"/>
      <c r="I320" s="2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28"/>
      <c r="I321" s="2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28"/>
      <c r="I322" s="2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28"/>
      <c r="I323" s="2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28"/>
      <c r="I324" s="2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28"/>
      <c r="I325" s="2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28"/>
      <c r="I326" s="2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28"/>
      <c r="I327" s="2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28"/>
      <c r="I328" s="2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28"/>
      <c r="I329" s="2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28"/>
      <c r="I330" s="2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28"/>
      <c r="I331" s="2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28"/>
      <c r="I332" s="2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28"/>
      <c r="I333" s="2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28"/>
      <c r="I334" s="2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28"/>
      <c r="I335" s="2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28"/>
      <c r="I336" s="2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28"/>
      <c r="I337" s="2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28"/>
      <c r="I338" s="2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28"/>
      <c r="I339" s="2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28"/>
      <c r="I340" s="2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28"/>
      <c r="I341" s="2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28"/>
      <c r="I342" s="2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28"/>
      <c r="I343" s="2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28"/>
      <c r="I344" s="2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28"/>
      <c r="I345" s="2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28"/>
      <c r="I346" s="2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28"/>
      <c r="I347" s="2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28"/>
      <c r="I348" s="2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28"/>
      <c r="I349" s="2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28"/>
      <c r="I350" s="2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28"/>
      <c r="I351" s="2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28"/>
      <c r="I352" s="2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28"/>
      <c r="I353" s="2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28"/>
      <c r="I354" s="2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28"/>
      <c r="I355" s="2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28"/>
      <c r="I356" s="2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28"/>
      <c r="I357" s="2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28"/>
      <c r="I358" s="2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28"/>
      <c r="I359" s="2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28"/>
      <c r="I360" s="2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28"/>
      <c r="I361" s="2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28"/>
      <c r="I362" s="2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28"/>
      <c r="I363" s="2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28"/>
      <c r="I364" s="2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28"/>
      <c r="I365" s="2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28"/>
      <c r="I366" s="2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28"/>
      <c r="I367" s="2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28"/>
      <c r="I368" s="2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28"/>
      <c r="I369" s="2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28"/>
      <c r="I370" s="2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28"/>
      <c r="I371" s="2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28"/>
      <c r="I372" s="2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28"/>
      <c r="I373" s="2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28"/>
      <c r="I374" s="2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28"/>
      <c r="I375" s="2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28"/>
      <c r="I376" s="2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28"/>
      <c r="I377" s="2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28"/>
      <c r="I378" s="2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28"/>
      <c r="I379" s="2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28"/>
      <c r="I380" s="2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28"/>
      <c r="I381" s="2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28"/>
      <c r="I382" s="2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28"/>
      <c r="I383" s="2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28"/>
      <c r="I384" s="2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28"/>
      <c r="I385" s="2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28"/>
      <c r="I386" s="2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28"/>
      <c r="I387" s="2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28"/>
      <c r="I388" s="2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28"/>
      <c r="I389" s="2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28"/>
      <c r="I390" s="2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28"/>
      <c r="I391" s="2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28"/>
      <c r="I392" s="2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28"/>
      <c r="I393" s="2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28"/>
      <c r="I394" s="2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28"/>
      <c r="I395" s="2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28"/>
      <c r="I396" s="2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28"/>
      <c r="I397" s="2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28"/>
      <c r="I398" s="2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28"/>
      <c r="I399" s="2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28"/>
      <c r="I400" s="2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28"/>
      <c r="I401" s="2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28"/>
      <c r="I402" s="2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28"/>
      <c r="I403" s="2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28"/>
      <c r="I404" s="2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28"/>
      <c r="I405" s="2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28"/>
      <c r="I406" s="2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28"/>
      <c r="I407" s="2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28"/>
      <c r="I408" s="2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28"/>
      <c r="I409" s="2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28"/>
      <c r="I410" s="2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28"/>
      <c r="I411" s="2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28"/>
      <c r="I412" s="2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28"/>
      <c r="I413" s="2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28"/>
      <c r="I414" s="2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28"/>
      <c r="I415" s="2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28"/>
      <c r="I416" s="2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28"/>
      <c r="I417" s="2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28"/>
      <c r="I418" s="2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28"/>
      <c r="I419" s="2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28"/>
      <c r="I420" s="2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28"/>
      <c r="I421" s="2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28"/>
      <c r="I422" s="2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28"/>
      <c r="I423" s="2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28"/>
      <c r="I424" s="2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28"/>
      <c r="I425" s="2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28"/>
      <c r="I426" s="2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28"/>
      <c r="I427" s="2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28"/>
      <c r="I428" s="2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28"/>
      <c r="I429" s="2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28"/>
      <c r="I430" s="2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28"/>
      <c r="I431" s="2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28"/>
      <c r="I432" s="2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28"/>
      <c r="I433" s="2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28"/>
      <c r="I434" s="2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28"/>
      <c r="I435" s="2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28"/>
      <c r="I436" s="2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28"/>
      <c r="I437" s="2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28"/>
      <c r="I438" s="2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28"/>
      <c r="I439" s="2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28"/>
      <c r="I440" s="2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28"/>
      <c r="I441" s="2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28"/>
      <c r="I442" s="2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28"/>
      <c r="I443" s="2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28"/>
      <c r="I444" s="2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28"/>
      <c r="I445" s="2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28"/>
      <c r="I446" s="2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28"/>
      <c r="I447" s="2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28"/>
      <c r="I448" s="2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28"/>
      <c r="I449" s="2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28"/>
      <c r="I450" s="2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28"/>
      <c r="I451" s="2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28"/>
      <c r="I452" s="2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28"/>
      <c r="I453" s="2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28"/>
      <c r="I454" s="2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28"/>
      <c r="I455" s="2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28"/>
      <c r="I456" s="2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28"/>
      <c r="I457" s="2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28"/>
      <c r="I458" s="2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28"/>
      <c r="I459" s="2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28"/>
      <c r="I460" s="2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28"/>
      <c r="I461" s="2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28"/>
      <c r="I462" s="2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28"/>
      <c r="I463" s="2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28"/>
      <c r="I464" s="2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28"/>
      <c r="I465" s="2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28"/>
      <c r="I466" s="2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28"/>
      <c r="I467" s="2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28"/>
      <c r="I468" s="2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28"/>
      <c r="I469" s="2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28"/>
      <c r="I470" s="2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28"/>
      <c r="I471" s="2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28"/>
      <c r="I472" s="2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28"/>
      <c r="I473" s="2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28"/>
      <c r="I474" s="2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28"/>
      <c r="I475" s="2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28"/>
      <c r="I476" s="2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28"/>
      <c r="I477" s="2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28"/>
      <c r="I478" s="2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28"/>
      <c r="I479" s="2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28"/>
      <c r="I480" s="2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28"/>
      <c r="I481" s="2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28"/>
      <c r="I482" s="2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28"/>
      <c r="I483" s="2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28"/>
      <c r="I484" s="2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28"/>
      <c r="I485" s="2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28"/>
      <c r="I486" s="2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28"/>
      <c r="I487" s="2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28"/>
      <c r="I488" s="2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28"/>
      <c r="I489" s="2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28"/>
      <c r="I490" s="2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28"/>
      <c r="I491" s="2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28"/>
      <c r="I492" s="2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28"/>
      <c r="I493" s="2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28"/>
      <c r="I494" s="2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28"/>
      <c r="I495" s="2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28"/>
      <c r="I496" s="2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28"/>
      <c r="I497" s="2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28"/>
      <c r="I498" s="2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28"/>
      <c r="I499" s="2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28"/>
      <c r="I500" s="2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28"/>
      <c r="I501" s="2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28"/>
      <c r="I502" s="2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28"/>
      <c r="I503" s="2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28"/>
      <c r="I504" s="2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28"/>
      <c r="I505" s="2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28"/>
      <c r="I506" s="2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28"/>
      <c r="I507" s="2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28"/>
      <c r="I508" s="2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28"/>
      <c r="I509" s="2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28"/>
      <c r="I510" s="2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28"/>
      <c r="I511" s="2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28"/>
      <c r="I512" s="2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28"/>
      <c r="I513" s="2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28"/>
      <c r="I514" s="2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28"/>
      <c r="I515" s="2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28"/>
      <c r="I516" s="2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28"/>
      <c r="I517" s="2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28"/>
      <c r="I518" s="2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28"/>
      <c r="I519" s="2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28"/>
      <c r="I520" s="2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28"/>
      <c r="I521" s="2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28"/>
      <c r="I522" s="2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28"/>
      <c r="I523" s="2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28"/>
      <c r="I524" s="2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28"/>
      <c r="I525" s="2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28"/>
      <c r="I526" s="2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28"/>
      <c r="I527" s="2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28"/>
      <c r="I528" s="2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28"/>
      <c r="I529" s="2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28"/>
      <c r="I530" s="2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28"/>
      <c r="I531" s="2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28"/>
      <c r="I532" s="2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28"/>
      <c r="I533" s="2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28"/>
      <c r="I534" s="2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28"/>
      <c r="I535" s="2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28"/>
      <c r="I536" s="2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28"/>
      <c r="I537" s="2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28"/>
      <c r="I538" s="2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28"/>
      <c r="I539" s="2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28"/>
      <c r="I540" s="2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28"/>
      <c r="I541" s="2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28"/>
      <c r="I542" s="2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28"/>
      <c r="I543" s="2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28"/>
      <c r="I544" s="2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28"/>
      <c r="I545" s="2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28"/>
      <c r="I546" s="2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28"/>
      <c r="I547" s="2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28"/>
      <c r="I548" s="2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28"/>
      <c r="I549" s="2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28"/>
      <c r="I550" s="2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28"/>
      <c r="I551" s="2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28"/>
      <c r="I552" s="2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28"/>
      <c r="I553" s="2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28"/>
      <c r="I554" s="2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28"/>
      <c r="I555" s="2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28"/>
      <c r="I556" s="2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28"/>
      <c r="I557" s="2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28"/>
      <c r="I558" s="2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28"/>
      <c r="I559" s="2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28"/>
      <c r="I560" s="2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28"/>
      <c r="I561" s="2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28"/>
      <c r="I562" s="2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28"/>
      <c r="I563" s="2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28"/>
      <c r="I564" s="2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28"/>
      <c r="I565" s="2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28"/>
      <c r="I566" s="2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28"/>
      <c r="I567" s="2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28"/>
      <c r="I568" s="2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28"/>
      <c r="I569" s="2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28"/>
      <c r="I570" s="2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28"/>
      <c r="I571" s="2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28"/>
      <c r="I572" s="2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28"/>
      <c r="I573" s="2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28"/>
      <c r="I574" s="2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28"/>
      <c r="I575" s="2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28"/>
      <c r="I576" s="2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28"/>
      <c r="I577" s="2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28"/>
      <c r="I578" s="2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28"/>
      <c r="I579" s="2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28"/>
      <c r="I580" s="2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28"/>
      <c r="I581" s="2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28"/>
      <c r="I582" s="2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28"/>
      <c r="I583" s="2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28"/>
      <c r="I584" s="2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28"/>
      <c r="I585" s="2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28"/>
      <c r="I586" s="2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28"/>
      <c r="I587" s="2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28"/>
      <c r="I588" s="2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28"/>
      <c r="I589" s="2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28"/>
      <c r="I590" s="2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28"/>
      <c r="I591" s="2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28"/>
      <c r="I592" s="2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28"/>
      <c r="I593" s="2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28"/>
      <c r="I594" s="2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28"/>
      <c r="I595" s="2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28"/>
      <c r="I596" s="2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28"/>
      <c r="I597" s="2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28"/>
      <c r="I598" s="2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28"/>
      <c r="I599" s="2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28"/>
      <c r="I600" s="2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28"/>
      <c r="I601" s="2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28"/>
      <c r="I602" s="2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28"/>
      <c r="I603" s="2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28"/>
      <c r="I604" s="2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28"/>
      <c r="I605" s="2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28"/>
      <c r="I606" s="2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28"/>
      <c r="I607" s="2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28"/>
      <c r="I608" s="2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28"/>
      <c r="I609" s="2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28"/>
      <c r="I610" s="2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28"/>
      <c r="I611" s="2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28"/>
      <c r="I612" s="2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28"/>
      <c r="I613" s="2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28"/>
      <c r="I614" s="2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28"/>
      <c r="I615" s="2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28"/>
      <c r="I616" s="2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28"/>
      <c r="I617" s="2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28"/>
      <c r="I618" s="2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28"/>
      <c r="I619" s="2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28"/>
      <c r="I620" s="2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28"/>
      <c r="I621" s="2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28"/>
      <c r="I622" s="2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28"/>
      <c r="I623" s="2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28"/>
      <c r="I624" s="2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28"/>
      <c r="I625" s="2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28"/>
      <c r="I626" s="2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28"/>
      <c r="I627" s="2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28"/>
      <c r="I628" s="2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28"/>
      <c r="I629" s="2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28"/>
      <c r="I630" s="2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28"/>
      <c r="I631" s="2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28"/>
      <c r="I632" s="2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28"/>
      <c r="I633" s="2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28"/>
      <c r="I634" s="2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28"/>
      <c r="I635" s="2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28"/>
      <c r="I636" s="2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28"/>
      <c r="I637" s="2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28"/>
      <c r="I638" s="2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28"/>
      <c r="I639" s="2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28"/>
      <c r="I640" s="2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28"/>
      <c r="I641" s="2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28"/>
      <c r="I642" s="2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28"/>
      <c r="I643" s="2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28"/>
      <c r="I644" s="2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28"/>
      <c r="I645" s="2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28"/>
      <c r="I646" s="2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28"/>
      <c r="I647" s="2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28"/>
      <c r="I648" s="2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28"/>
      <c r="I649" s="2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28"/>
      <c r="I650" s="2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28"/>
      <c r="I651" s="2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28"/>
      <c r="I652" s="2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28"/>
      <c r="I653" s="2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28"/>
      <c r="I654" s="2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28"/>
      <c r="I655" s="2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28"/>
      <c r="I656" s="2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28"/>
      <c r="I657" s="2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28"/>
      <c r="I658" s="2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28"/>
      <c r="I659" s="2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28"/>
      <c r="I660" s="2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28"/>
      <c r="I661" s="2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28"/>
      <c r="I662" s="2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28"/>
      <c r="I663" s="2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28"/>
      <c r="I664" s="2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28"/>
      <c r="I665" s="2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28"/>
      <c r="I666" s="2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28"/>
      <c r="I667" s="2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28"/>
      <c r="I668" s="2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28"/>
      <c r="I669" s="2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28"/>
      <c r="I670" s="2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28"/>
      <c r="I671" s="2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28"/>
      <c r="I672" s="2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28"/>
      <c r="I673" s="2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28"/>
      <c r="I674" s="2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28"/>
      <c r="I675" s="2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28"/>
      <c r="I676" s="2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28"/>
      <c r="I677" s="2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28"/>
      <c r="I678" s="2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28"/>
      <c r="I679" s="2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28"/>
      <c r="I680" s="2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28"/>
      <c r="I681" s="2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28"/>
      <c r="I682" s="2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28"/>
      <c r="I683" s="2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28"/>
      <c r="I684" s="2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28"/>
      <c r="I685" s="2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28"/>
      <c r="I686" s="2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28"/>
      <c r="I687" s="2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28"/>
      <c r="I688" s="2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28"/>
      <c r="I689" s="2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28"/>
      <c r="I690" s="2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28"/>
      <c r="I691" s="2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28"/>
      <c r="I692" s="2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28"/>
      <c r="I693" s="2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28"/>
      <c r="I694" s="2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28"/>
      <c r="I695" s="2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28"/>
      <c r="I696" s="2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28"/>
      <c r="I697" s="2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28"/>
      <c r="I698" s="2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28"/>
      <c r="I699" s="2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28"/>
      <c r="I700" s="2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28"/>
      <c r="I701" s="2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28"/>
      <c r="I702" s="2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28"/>
      <c r="I703" s="2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28"/>
      <c r="I704" s="2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28"/>
      <c r="I705" s="2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28"/>
      <c r="I706" s="2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28"/>
      <c r="I707" s="2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28"/>
      <c r="I708" s="2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28"/>
      <c r="I709" s="2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28"/>
      <c r="I710" s="2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28"/>
      <c r="I711" s="2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28"/>
      <c r="I712" s="2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28"/>
      <c r="I713" s="2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28"/>
      <c r="I714" s="2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28"/>
      <c r="I715" s="2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28"/>
      <c r="I716" s="2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28"/>
      <c r="I717" s="2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28"/>
      <c r="I718" s="2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28"/>
      <c r="I719" s="2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28"/>
      <c r="I720" s="2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28"/>
      <c r="I721" s="2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28"/>
      <c r="I722" s="2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28"/>
      <c r="I723" s="2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28"/>
      <c r="I724" s="2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28"/>
      <c r="I725" s="2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28"/>
      <c r="I726" s="2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28"/>
      <c r="I727" s="2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28"/>
      <c r="I728" s="2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28"/>
      <c r="I729" s="2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28"/>
      <c r="I730" s="2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28"/>
      <c r="I731" s="2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28"/>
      <c r="I732" s="2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28"/>
      <c r="I733" s="2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28"/>
      <c r="I734" s="2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28"/>
      <c r="I735" s="2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28"/>
      <c r="I736" s="2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28"/>
      <c r="I737" s="2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28"/>
      <c r="I738" s="2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28"/>
      <c r="I739" s="2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28"/>
      <c r="I740" s="2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28"/>
      <c r="I741" s="2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28"/>
      <c r="I742" s="2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28"/>
      <c r="I743" s="2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28"/>
      <c r="I744" s="2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28"/>
      <c r="I745" s="2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28"/>
      <c r="I746" s="2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28"/>
      <c r="I747" s="2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28"/>
      <c r="I748" s="2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28"/>
      <c r="I749" s="2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28"/>
      <c r="I750" s="2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28"/>
      <c r="I751" s="2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28"/>
      <c r="I752" s="2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28"/>
      <c r="I753" s="2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28"/>
      <c r="I754" s="2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28"/>
      <c r="I755" s="2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28"/>
      <c r="I756" s="2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28"/>
      <c r="I757" s="2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28"/>
      <c r="I758" s="2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28"/>
      <c r="I759" s="2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28"/>
      <c r="I760" s="2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28"/>
      <c r="I761" s="2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28"/>
      <c r="I762" s="2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28"/>
      <c r="I763" s="2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28"/>
      <c r="I764" s="2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28"/>
      <c r="I765" s="2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28"/>
      <c r="I766" s="2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28"/>
      <c r="I767" s="2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28"/>
      <c r="I768" s="2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28"/>
      <c r="I769" s="2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28"/>
      <c r="I770" s="2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28"/>
      <c r="I771" s="2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28"/>
      <c r="I772" s="2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28"/>
      <c r="I773" s="2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28"/>
      <c r="I774" s="2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28"/>
      <c r="I775" s="2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28"/>
      <c r="I776" s="2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28"/>
      <c r="I777" s="2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28"/>
      <c r="I778" s="2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28"/>
      <c r="I779" s="2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28"/>
      <c r="I780" s="2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28"/>
      <c r="I781" s="2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28"/>
      <c r="I782" s="2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28"/>
      <c r="I783" s="2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28"/>
      <c r="I784" s="2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28"/>
      <c r="I785" s="2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28"/>
      <c r="I786" s="2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28"/>
      <c r="I787" s="2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28"/>
      <c r="I788" s="2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28"/>
      <c r="I789" s="2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28"/>
      <c r="I790" s="2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28"/>
      <c r="I791" s="2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28"/>
      <c r="I792" s="2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28"/>
      <c r="I793" s="2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28"/>
      <c r="I794" s="2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28"/>
      <c r="I795" s="2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28"/>
      <c r="I796" s="2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28"/>
      <c r="I797" s="2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28"/>
      <c r="I798" s="2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28"/>
      <c r="I799" s="2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28"/>
      <c r="I800" s="2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28"/>
      <c r="I801" s="2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28"/>
      <c r="I802" s="2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28"/>
      <c r="I803" s="2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28"/>
      <c r="I804" s="2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28"/>
      <c r="I805" s="2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28"/>
      <c r="I806" s="2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28"/>
      <c r="I807" s="2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28"/>
      <c r="I808" s="2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28"/>
      <c r="I809" s="2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28"/>
      <c r="I810" s="2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28"/>
      <c r="I811" s="2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28"/>
      <c r="I812" s="2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28"/>
      <c r="I813" s="2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28"/>
      <c r="I814" s="2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28"/>
      <c r="I815" s="2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28"/>
      <c r="I816" s="2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28"/>
      <c r="I817" s="2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28"/>
      <c r="I818" s="2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28"/>
      <c r="I819" s="2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28"/>
      <c r="I820" s="2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28"/>
      <c r="I821" s="2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28"/>
      <c r="I822" s="2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28"/>
      <c r="I823" s="2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28"/>
      <c r="I824" s="2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28"/>
      <c r="I825" s="2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28"/>
      <c r="I826" s="2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28"/>
      <c r="I827" s="2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28"/>
      <c r="I828" s="2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28"/>
      <c r="I829" s="2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28"/>
      <c r="I830" s="2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28"/>
      <c r="I831" s="2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28"/>
      <c r="I832" s="2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28"/>
      <c r="I833" s="2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28"/>
      <c r="I834" s="2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28"/>
      <c r="I835" s="2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28"/>
      <c r="I836" s="2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28"/>
      <c r="I837" s="2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28"/>
      <c r="I838" s="2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28"/>
      <c r="I839" s="2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28"/>
      <c r="I840" s="2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28"/>
      <c r="I841" s="2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28"/>
      <c r="I842" s="2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28"/>
      <c r="I843" s="2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28"/>
      <c r="I844" s="2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28"/>
      <c r="I845" s="2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28"/>
      <c r="I846" s="2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28"/>
      <c r="I847" s="2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28"/>
      <c r="I848" s="2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28"/>
      <c r="I849" s="2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28"/>
      <c r="I850" s="2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28"/>
      <c r="I851" s="2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28"/>
      <c r="I852" s="2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28"/>
      <c r="I853" s="2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28"/>
      <c r="I854" s="2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28"/>
      <c r="I855" s="2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28"/>
      <c r="I856" s="2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28"/>
      <c r="I857" s="2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28"/>
      <c r="I858" s="2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28"/>
      <c r="I859" s="2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28"/>
      <c r="I860" s="2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28"/>
      <c r="I861" s="2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28"/>
      <c r="I862" s="2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28"/>
      <c r="I863" s="2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28"/>
      <c r="I864" s="2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28"/>
      <c r="I865" s="2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28"/>
      <c r="I866" s="2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28"/>
      <c r="I867" s="2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28"/>
      <c r="I868" s="2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28"/>
      <c r="I869" s="2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28"/>
      <c r="I870" s="2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28"/>
      <c r="I871" s="2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28"/>
      <c r="I872" s="2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28"/>
      <c r="I873" s="2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28"/>
      <c r="I874" s="2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28"/>
      <c r="I875" s="2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28"/>
      <c r="I876" s="2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28"/>
      <c r="I877" s="2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28"/>
      <c r="I878" s="2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28"/>
      <c r="I879" s="2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28"/>
      <c r="I880" s="2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28"/>
      <c r="I881" s="2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28"/>
      <c r="I882" s="2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28"/>
      <c r="I883" s="2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28"/>
      <c r="I884" s="2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28"/>
      <c r="I885" s="2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28"/>
      <c r="I886" s="2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28"/>
      <c r="I887" s="2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28"/>
      <c r="I888" s="2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28"/>
      <c r="I889" s="2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28"/>
      <c r="I890" s="2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28"/>
      <c r="I891" s="2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28"/>
      <c r="I892" s="2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28"/>
      <c r="I893" s="2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28"/>
      <c r="I894" s="2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28"/>
      <c r="I895" s="2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28"/>
      <c r="I896" s="2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28"/>
      <c r="I897" s="2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28"/>
      <c r="I898" s="2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28"/>
      <c r="I899" s="2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28"/>
      <c r="I900" s="2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28"/>
      <c r="I901" s="2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28"/>
      <c r="I902" s="2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28"/>
      <c r="I903" s="2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28"/>
      <c r="I904" s="2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28"/>
      <c r="I905" s="2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28"/>
      <c r="I906" s="2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28"/>
      <c r="I907" s="2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28"/>
      <c r="I908" s="2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28"/>
      <c r="I909" s="2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28"/>
      <c r="I910" s="2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28"/>
      <c r="I911" s="2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28"/>
      <c r="I912" s="2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28"/>
      <c r="I913" s="2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28"/>
      <c r="I914" s="2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28"/>
      <c r="I915" s="2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28"/>
      <c r="I916" s="2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28"/>
      <c r="I917" s="2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28"/>
      <c r="I918" s="2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28"/>
      <c r="I919" s="2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28"/>
      <c r="I920" s="2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28"/>
      <c r="I921" s="2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28"/>
      <c r="I922" s="2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28"/>
      <c r="I923" s="2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28"/>
      <c r="I924" s="2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28"/>
      <c r="I925" s="2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28"/>
      <c r="I926" s="2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28"/>
      <c r="I927" s="2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28"/>
      <c r="I928" s="2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28"/>
      <c r="I929" s="2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28"/>
      <c r="I930" s="2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28"/>
      <c r="I931" s="2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28"/>
      <c r="I932" s="2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28"/>
      <c r="I933" s="2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28"/>
      <c r="I934" s="2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28"/>
      <c r="I935" s="2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28"/>
      <c r="I936" s="2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28"/>
      <c r="I937" s="28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28"/>
      <c r="I938" s="28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28"/>
      <c r="I939" s="28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28"/>
      <c r="I940" s="28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28"/>
      <c r="I941" s="28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28"/>
      <c r="I942" s="28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28"/>
      <c r="I943" s="28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28"/>
      <c r="I944" s="28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28"/>
      <c r="I945" s="28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28"/>
      <c r="I946" s="28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28"/>
      <c r="I947" s="28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28"/>
      <c r="I948" s="28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28"/>
      <c r="I949" s="28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28"/>
      <c r="I950" s="28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28"/>
      <c r="I951" s="28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28"/>
      <c r="I952" s="28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28"/>
      <c r="I953" s="28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28"/>
      <c r="I954" s="28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28"/>
      <c r="I955" s="28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28"/>
      <c r="I956" s="28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28"/>
      <c r="I957" s="28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28"/>
      <c r="I958" s="28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28"/>
      <c r="I959" s="28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28"/>
      <c r="I960" s="28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28"/>
      <c r="I961" s="28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28"/>
      <c r="I962" s="28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28"/>
      <c r="I963" s="28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28"/>
      <c r="I964" s="28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28"/>
      <c r="I965" s="28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28"/>
      <c r="I966" s="28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28"/>
      <c r="I967" s="28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28"/>
      <c r="I968" s="28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28"/>
      <c r="I969" s="28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28"/>
      <c r="I970" s="28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28"/>
      <c r="I971" s="28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28"/>
      <c r="I972" s="28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28"/>
      <c r="I973" s="28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28"/>
      <c r="I974" s="28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28"/>
      <c r="I975" s="28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28"/>
      <c r="I976" s="28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28"/>
      <c r="I977" s="28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28"/>
      <c r="I978" s="28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28"/>
      <c r="I979" s="28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>
      <c r="A1011" s="5"/>
      <c r="B1011" s="5"/>
      <c r="C1011" s="5"/>
      <c r="D1011" s="5"/>
      <c r="E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>
      <c r="A1012" s="5"/>
      <c r="B1012" s="5"/>
      <c r="C1012" s="5"/>
      <c r="D1012" s="5"/>
      <c r="E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>
      <c r="A1013" s="5"/>
      <c r="B1013" s="5"/>
      <c r="C1013" s="5"/>
      <c r="D1013" s="5"/>
      <c r="E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>
      <c r="A1014" s="5"/>
      <c r="B1014" s="5"/>
      <c r="C1014" s="5"/>
      <c r="D1014" s="5"/>
      <c r="E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>
      <c r="A1015" s="5"/>
      <c r="B1015" s="5"/>
      <c r="C1015" s="5"/>
      <c r="D1015" s="5"/>
      <c r="E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>
      <c r="A1016" s="5"/>
      <c r="B1016" s="5"/>
      <c r="C1016" s="5"/>
      <c r="D1016" s="5"/>
      <c r="E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>
      <c r="A1017" s="5"/>
      <c r="B1017" s="5"/>
      <c r="C1017" s="5"/>
      <c r="D1017" s="5"/>
      <c r="E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>
      <c r="A1018" s="5"/>
      <c r="B1018" s="5"/>
      <c r="C1018" s="5"/>
      <c r="D1018" s="5"/>
      <c r="E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>
      <c r="A1019" s="5"/>
      <c r="B1019" s="5"/>
      <c r="C1019" s="5"/>
      <c r="D1019" s="5"/>
      <c r="E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>
      <c r="A1020" s="5"/>
      <c r="B1020" s="5"/>
      <c r="C1020" s="5"/>
      <c r="D1020" s="5"/>
      <c r="E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>
      <c r="A1021" s="5"/>
      <c r="B1021" s="5"/>
      <c r="C1021" s="5"/>
      <c r="D1021" s="5"/>
      <c r="E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>
      <c r="A1022" s="5"/>
      <c r="B1022" s="5"/>
      <c r="C1022" s="5"/>
      <c r="D1022" s="5"/>
      <c r="E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>
      <c r="A1023" s="5"/>
      <c r="B1023" s="5"/>
      <c r="C1023" s="5"/>
      <c r="D1023" s="5"/>
      <c r="E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>
      <c r="A1024" s="5"/>
      <c r="B1024" s="5"/>
      <c r="C1024" s="5"/>
      <c r="D1024" s="5"/>
      <c r="E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>
      <c r="A1025" s="5"/>
      <c r="B1025" s="5"/>
      <c r="C1025" s="5"/>
      <c r="D1025" s="5"/>
      <c r="E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>
      <c r="A1026" s="5"/>
      <c r="B1026" s="5"/>
      <c r="C1026" s="5"/>
      <c r="D1026" s="5"/>
      <c r="E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>
      <c r="A1027" s="5"/>
      <c r="B1027" s="5"/>
      <c r="C1027" s="5"/>
      <c r="D1027" s="5"/>
      <c r="E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>
      <c r="A1028" s="5"/>
      <c r="B1028" s="5"/>
      <c r="C1028" s="5"/>
      <c r="D1028" s="5"/>
      <c r="E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>
      <c r="A1029" s="5"/>
      <c r="B1029" s="5"/>
      <c r="C1029" s="5"/>
      <c r="D1029" s="5"/>
      <c r="E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>
      <c r="A1030" s="5"/>
      <c r="B1030" s="5"/>
      <c r="C1030" s="5"/>
      <c r="D1030" s="5"/>
      <c r="E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>
      <c r="A1031" s="5"/>
      <c r="B1031" s="5"/>
      <c r="C1031" s="5"/>
      <c r="D1031" s="5"/>
      <c r="E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>
      <c r="A1032" s="5"/>
      <c r="B1032" s="5"/>
      <c r="C1032" s="5"/>
      <c r="D1032" s="5"/>
      <c r="E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>
      <c r="A1033" s="5"/>
      <c r="B1033" s="5"/>
      <c r="C1033" s="5"/>
      <c r="D1033" s="5"/>
      <c r="E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>
      <c r="A1034" s="5"/>
      <c r="B1034" s="5"/>
      <c r="C1034" s="5"/>
      <c r="D1034" s="5"/>
      <c r="E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>
      <c r="A1035" s="5"/>
      <c r="B1035" s="5"/>
      <c r="C1035" s="5"/>
      <c r="D1035" s="5"/>
      <c r="E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>
      <c r="A1036" s="5"/>
      <c r="B1036" s="5"/>
      <c r="C1036" s="5"/>
      <c r="D1036" s="5"/>
      <c r="E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>
      <c r="A1037" s="5"/>
      <c r="B1037" s="5"/>
      <c r="C1037" s="5"/>
      <c r="D1037" s="5"/>
      <c r="E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>
      <c r="A1038" s="5"/>
      <c r="B1038" s="5"/>
      <c r="C1038" s="5"/>
      <c r="D1038" s="5"/>
      <c r="E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>
      <c r="A1039" s="5"/>
      <c r="B1039" s="5"/>
      <c r="C1039" s="5"/>
      <c r="D1039" s="5"/>
      <c r="E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>
      <c r="A1040" s="5"/>
      <c r="B1040" s="5"/>
      <c r="C1040" s="5"/>
      <c r="D1040" s="5"/>
      <c r="E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>
      <c r="A1041" s="5"/>
      <c r="B1041" s="5"/>
      <c r="C1041" s="5"/>
      <c r="D1041" s="5"/>
      <c r="E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>
      <c r="A1042" s="5"/>
      <c r="B1042" s="5"/>
      <c r="C1042" s="5"/>
      <c r="D1042" s="5"/>
      <c r="E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>
      <c r="A1043" s="5"/>
      <c r="B1043" s="5"/>
      <c r="C1043" s="5"/>
      <c r="D1043" s="5"/>
      <c r="E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>
      <c r="A1044" s="5"/>
      <c r="B1044" s="5"/>
      <c r="C1044" s="5"/>
      <c r="D1044" s="5"/>
      <c r="E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>
      <c r="A1045" s="5"/>
      <c r="B1045" s="5"/>
      <c r="C1045" s="5"/>
      <c r="D1045" s="5"/>
      <c r="E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>
      <c r="A1046" s="5"/>
      <c r="B1046" s="5"/>
      <c r="C1046" s="5"/>
      <c r="D1046" s="5"/>
      <c r="E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>
      <c r="A1047" s="5"/>
      <c r="B1047" s="5"/>
      <c r="C1047" s="5"/>
      <c r="D1047" s="5"/>
      <c r="E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</sheetData>
  <autoFilter ref="$A$1:$I$103"/>
  <mergeCells count="21">
    <mergeCell ref="A2:I2"/>
    <mergeCell ref="A3:A5"/>
    <mergeCell ref="B3:B5"/>
    <mergeCell ref="A6:A9"/>
    <mergeCell ref="B6:B9"/>
    <mergeCell ref="A10:A12"/>
    <mergeCell ref="B10:B12"/>
    <mergeCell ref="A25:A29"/>
    <mergeCell ref="B25:B29"/>
    <mergeCell ref="C25:C29"/>
    <mergeCell ref="B30:B31"/>
    <mergeCell ref="A32:A34"/>
    <mergeCell ref="B32:B34"/>
    <mergeCell ref="A35:I35"/>
    <mergeCell ref="A13:A14"/>
    <mergeCell ref="B13:B14"/>
    <mergeCell ref="B15:B20"/>
    <mergeCell ref="C15:C20"/>
    <mergeCell ref="A16:A20"/>
    <mergeCell ref="A21:A24"/>
    <mergeCell ref="B21:B24"/>
  </mergeCells>
  <dataValidations>
    <dataValidation type="list" allowBlank="1" showErrorMessage="1" sqref="D3:D31 D33:D34 D36:D103">
      <formula1>"Guest,Customer,Shop Owner,Delivery,Admin,All,System"</formula1>
    </dataValidation>
    <dataValidation type="list" allowBlank="1" showErrorMessage="1" sqref="F3:F34 F36:F41">
      <formula1>"Hoang,Duong,Khang,Hai,Quan"</formula1>
    </dataValidation>
    <dataValidation type="list" allowBlank="1" showErrorMessage="1" sqref="G3:G34 G36:G41">
      <formula1>"To Do,Doing,Updated,Done"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8.75"/>
    <col customWidth="1" min="3" max="3" width="28.5"/>
    <col customWidth="1" min="4" max="4" width="40.25"/>
    <col customWidth="1" min="5" max="5" width="8.88"/>
    <col customWidth="1" min="6" max="25" width="8.63"/>
  </cols>
  <sheetData>
    <row r="1">
      <c r="A1" s="48"/>
      <c r="B1" s="48"/>
      <c r="C1" s="48"/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0" t="s">
        <v>0</v>
      </c>
      <c r="B2" s="51" t="s">
        <v>408</v>
      </c>
      <c r="C2" s="51" t="s">
        <v>409</v>
      </c>
      <c r="D2" s="51" t="s">
        <v>410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2">
        <v>1.0</v>
      </c>
      <c r="B3" s="52" t="s">
        <v>13</v>
      </c>
      <c r="C3" s="52" t="s">
        <v>96</v>
      </c>
      <c r="D3" s="52" t="s">
        <v>262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52">
        <v>2.0</v>
      </c>
      <c r="B4" s="52" t="s">
        <v>19</v>
      </c>
      <c r="C4" s="52" t="s">
        <v>101</v>
      </c>
      <c r="D4" s="52" t="s">
        <v>265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52">
        <v>3.0</v>
      </c>
      <c r="B5" s="52" t="s">
        <v>22</v>
      </c>
      <c r="C5" s="52" t="s">
        <v>104</v>
      </c>
      <c r="D5" s="52" t="s">
        <v>268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52">
        <v>4.0</v>
      </c>
      <c r="B6" s="52" t="s">
        <v>26</v>
      </c>
      <c r="C6" s="52" t="s">
        <v>107</v>
      </c>
      <c r="D6" s="52" t="s">
        <v>271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>
      <c r="A7" s="52">
        <v>5.0</v>
      </c>
      <c r="B7" s="52" t="s">
        <v>30</v>
      </c>
      <c r="C7" s="52" t="s">
        <v>110</v>
      </c>
      <c r="D7" s="52" t="s">
        <v>274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>
      <c r="A8" s="52">
        <v>6.0</v>
      </c>
      <c r="B8" s="52" t="s">
        <v>33</v>
      </c>
      <c r="C8" s="52" t="s">
        <v>411</v>
      </c>
      <c r="D8" s="52" t="s">
        <v>277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>
      <c r="A9" s="52">
        <v>7.0</v>
      </c>
      <c r="B9" s="52" t="s">
        <v>37</v>
      </c>
      <c r="C9" s="52" t="s">
        <v>118</v>
      </c>
      <c r="D9" s="52" t="s">
        <v>281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>
      <c r="A10" s="52">
        <v>8.0</v>
      </c>
      <c r="B10" s="52" t="s">
        <v>41</v>
      </c>
      <c r="C10" s="52" t="s">
        <v>122</v>
      </c>
      <c r="D10" s="52" t="s">
        <v>285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>
      <c r="A11" s="52">
        <v>9.0</v>
      </c>
      <c r="B11" s="52" t="s">
        <v>44</v>
      </c>
      <c r="C11" s="52" t="s">
        <v>125</v>
      </c>
      <c r="D11" s="52" t="s">
        <v>289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>
      <c r="A12" s="52">
        <v>10.0</v>
      </c>
      <c r="B12" s="53" t="s">
        <v>47</v>
      </c>
      <c r="C12" s="52" t="s">
        <v>128</v>
      </c>
      <c r="D12" s="52" t="s">
        <v>293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>
      <c r="A13" s="52">
        <v>11.0</v>
      </c>
      <c r="B13" s="53" t="s">
        <v>52</v>
      </c>
      <c r="C13" s="52" t="s">
        <v>132</v>
      </c>
      <c r="D13" s="53" t="s">
        <v>297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>
      <c r="A14" s="52">
        <v>12.0</v>
      </c>
      <c r="B14" s="53" t="s">
        <v>59</v>
      </c>
      <c r="C14" s="52" t="s">
        <v>135</v>
      </c>
      <c r="D14" s="48" t="s">
        <v>301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>
      <c r="A15" s="52">
        <v>13.0</v>
      </c>
      <c r="B15" s="48" t="s">
        <v>64</v>
      </c>
      <c r="C15" s="48" t="s">
        <v>138</v>
      </c>
      <c r="D15" s="48" t="s">
        <v>304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>
      <c r="A16" s="52">
        <v>14.0</v>
      </c>
      <c r="B16" s="48" t="s">
        <v>411</v>
      </c>
      <c r="C16" s="48" t="s">
        <v>142</v>
      </c>
      <c r="D16" s="48" t="s">
        <v>308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>
      <c r="A17" s="52">
        <v>15.0</v>
      </c>
      <c r="B17" s="48" t="s">
        <v>71</v>
      </c>
      <c r="C17" s="48" t="s">
        <v>145</v>
      </c>
      <c r="D17" s="48" t="s">
        <v>311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>
      <c r="A18" s="52">
        <v>16.0</v>
      </c>
      <c r="B18" s="48" t="s">
        <v>74</v>
      </c>
      <c r="C18" s="48" t="s">
        <v>149</v>
      </c>
      <c r="D18" s="48" t="s">
        <v>314</v>
      </c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>
      <c r="A19" s="52">
        <v>17.0</v>
      </c>
      <c r="B19" s="48" t="s">
        <v>77</v>
      </c>
      <c r="C19" s="48" t="s">
        <v>152</v>
      </c>
      <c r="D19" s="48" t="s">
        <v>317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>
      <c r="A20" s="52">
        <v>18.0</v>
      </c>
      <c r="B20" s="48" t="s">
        <v>81</v>
      </c>
      <c r="C20" s="48" t="s">
        <v>155</v>
      </c>
      <c r="D20" s="48" t="s">
        <v>320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>
      <c r="A21" s="52">
        <v>19.0</v>
      </c>
      <c r="B21" s="48" t="s">
        <v>86</v>
      </c>
      <c r="C21" s="48" t="s">
        <v>158</v>
      </c>
      <c r="D21" s="48" t="s">
        <v>209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>
      <c r="A22" s="52">
        <v>20.0</v>
      </c>
      <c r="B22" s="48" t="s">
        <v>89</v>
      </c>
      <c r="C22" s="48" t="s">
        <v>161</v>
      </c>
      <c r="D22" s="48" t="s">
        <v>326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>
      <c r="A23" s="52">
        <v>21.0</v>
      </c>
      <c r="B23" s="48" t="s">
        <v>92</v>
      </c>
      <c r="C23" s="48" t="s">
        <v>165</v>
      </c>
      <c r="D23" s="48" t="s">
        <v>329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>
      <c r="A24" s="52">
        <v>22.0</v>
      </c>
      <c r="B24" s="48"/>
      <c r="C24" s="48" t="s">
        <v>168</v>
      </c>
      <c r="D24" s="48" t="s">
        <v>332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>
      <c r="A25" s="52">
        <v>23.0</v>
      </c>
      <c r="B25" s="48"/>
      <c r="C25" s="48" t="s">
        <v>171</v>
      </c>
      <c r="D25" s="48" t="s">
        <v>335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>
      <c r="A26" s="52">
        <v>24.0</v>
      </c>
      <c r="B26" s="48"/>
      <c r="C26" s="48" t="s">
        <v>175</v>
      </c>
      <c r="D26" s="48" t="s">
        <v>338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>
      <c r="A27" s="52">
        <v>25.0</v>
      </c>
      <c r="B27" s="48"/>
      <c r="C27" s="48" t="s">
        <v>178</v>
      </c>
      <c r="D27" s="48" t="s">
        <v>341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>
      <c r="A28" s="52">
        <v>26.0</v>
      </c>
      <c r="B28" s="48"/>
      <c r="C28" s="48" t="s">
        <v>181</v>
      </c>
      <c r="D28" s="48" t="s">
        <v>344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>
      <c r="A29" s="52">
        <v>27.0</v>
      </c>
      <c r="B29" s="48"/>
      <c r="C29" s="48" t="s">
        <v>184</v>
      </c>
      <c r="D29" s="48" t="s">
        <v>348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>
      <c r="A30" s="52">
        <v>28.0</v>
      </c>
      <c r="B30" s="48"/>
      <c r="C30" s="48" t="s">
        <v>187</v>
      </c>
      <c r="D30" s="48" t="s">
        <v>351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>
      <c r="A31" s="52">
        <v>29.0</v>
      </c>
      <c r="B31" s="48"/>
      <c r="C31" s="48" t="s">
        <v>190</v>
      </c>
      <c r="D31" s="48" t="s">
        <v>354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>
      <c r="A32" s="52">
        <v>30.0</v>
      </c>
      <c r="B32" s="48"/>
      <c r="C32" s="48" t="s">
        <v>194</v>
      </c>
      <c r="D32" s="48" t="s">
        <v>358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>
      <c r="A33" s="52">
        <v>31.0</v>
      </c>
      <c r="B33" s="48"/>
      <c r="C33" s="48" t="s">
        <v>199</v>
      </c>
      <c r="D33" s="48" t="s">
        <v>361</v>
      </c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>
      <c r="A34" s="52">
        <v>32.0</v>
      </c>
      <c r="B34" s="48"/>
      <c r="C34" s="48" t="s">
        <v>202</v>
      </c>
      <c r="D34" s="48" t="s">
        <v>364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>
      <c r="A35" s="52">
        <v>33.0</v>
      </c>
      <c r="B35" s="48"/>
      <c r="C35" s="48" t="s">
        <v>206</v>
      </c>
      <c r="D35" s="48" t="s">
        <v>366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>
      <c r="A36" s="52">
        <v>34.0</v>
      </c>
      <c r="B36" s="48"/>
      <c r="C36" s="48" t="s">
        <v>209</v>
      </c>
      <c r="D36" s="54" t="s">
        <v>55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>
      <c r="A37" s="52">
        <v>35.0</v>
      </c>
      <c r="B37" s="48"/>
      <c r="C37" s="48" t="s">
        <v>412</v>
      </c>
      <c r="D37" s="48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>
      <c r="A38" s="52">
        <v>36.0</v>
      </c>
      <c r="B38" s="48"/>
      <c r="C38" s="48" t="s">
        <v>216</v>
      </c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>
      <c r="A39" s="52">
        <v>37.0</v>
      </c>
      <c r="B39" s="48"/>
      <c r="C39" s="48" t="s">
        <v>220</v>
      </c>
      <c r="D39" s="48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>
      <c r="A40" s="52">
        <v>38.0</v>
      </c>
      <c r="B40" s="48"/>
      <c r="C40" s="48" t="s">
        <v>223</v>
      </c>
      <c r="D40" s="48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>
      <c r="A41" s="52">
        <v>39.0</v>
      </c>
      <c r="B41" s="48"/>
      <c r="C41" s="48" t="s">
        <v>226</v>
      </c>
      <c r="D41" s="48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>
      <c r="A42" s="52">
        <v>40.0</v>
      </c>
      <c r="B42" s="48"/>
      <c r="C42" s="48" t="s">
        <v>229</v>
      </c>
      <c r="D42" s="48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>
      <c r="A43" s="52">
        <v>41.0</v>
      </c>
      <c r="B43" s="48"/>
      <c r="C43" s="48" t="s">
        <v>233</v>
      </c>
      <c r="D43" s="48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>
      <c r="A44" s="52">
        <v>42.0</v>
      </c>
      <c r="B44" s="48"/>
      <c r="C44" s="48" t="s">
        <v>237</v>
      </c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>
      <c r="A45" s="52">
        <v>43.0</v>
      </c>
      <c r="B45" s="48"/>
      <c r="C45" s="48" t="s">
        <v>241</v>
      </c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>
      <c r="A46" s="52">
        <v>44.0</v>
      </c>
      <c r="B46" s="48"/>
      <c r="C46" s="48" t="s">
        <v>244</v>
      </c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>
      <c r="A47" s="52">
        <v>45.0</v>
      </c>
      <c r="B47" s="48"/>
      <c r="C47" s="48" t="s">
        <v>247</v>
      </c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>
      <c r="A48" s="52">
        <v>46.0</v>
      </c>
      <c r="B48" s="48"/>
      <c r="C48" s="48" t="s">
        <v>252</v>
      </c>
      <c r="D48" s="48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>
      <c r="A49" s="52">
        <v>47.0</v>
      </c>
      <c r="B49" s="48"/>
      <c r="C49" s="48" t="s">
        <v>255</v>
      </c>
      <c r="D49" s="48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>
      <c r="A50" s="52">
        <v>48.0</v>
      </c>
      <c r="B50" s="48"/>
      <c r="C50" s="48" t="s">
        <v>258</v>
      </c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3.13"/>
    <col customWidth="1" min="3" max="3" width="8.13"/>
    <col customWidth="1" min="4" max="4" width="10.13"/>
    <col customWidth="1" min="5" max="5" width="9.25"/>
    <col customWidth="1" min="6" max="6" width="9.13"/>
    <col customWidth="1" min="7" max="7" width="9.63"/>
    <col customWidth="1" min="8" max="12" width="9.13"/>
    <col customWidth="1" min="13" max="13" width="6.88"/>
    <col customWidth="1" min="14" max="14" width="6.5"/>
    <col customWidth="1" min="15" max="15" width="9.13"/>
    <col customWidth="1" min="16" max="16" width="18.25"/>
    <col customWidth="1" min="17" max="26" width="9.13"/>
  </cols>
  <sheetData>
    <row r="1" ht="13.5" customHeight="1">
      <c r="A1" s="55"/>
      <c r="B1" s="56" t="s">
        <v>413</v>
      </c>
      <c r="C1" s="57" t="s">
        <v>414</v>
      </c>
      <c r="D1" s="58" t="s">
        <v>415</v>
      </c>
      <c r="E1" s="59"/>
      <c r="F1" s="60"/>
      <c r="G1" s="57" t="s">
        <v>416</v>
      </c>
      <c r="H1" s="61" t="s">
        <v>417</v>
      </c>
      <c r="I1" s="59"/>
      <c r="J1" s="59"/>
      <c r="K1" s="59"/>
      <c r="L1" s="62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3.5" customHeight="1">
      <c r="A2" s="55"/>
      <c r="B2" s="63" t="s">
        <v>418</v>
      </c>
      <c r="C2" s="64">
        <v>4.0</v>
      </c>
      <c r="D2" s="64">
        <v>5.0</v>
      </c>
      <c r="E2" s="64">
        <v>6.0</v>
      </c>
      <c r="F2" s="64">
        <v>7.0</v>
      </c>
      <c r="G2" s="64">
        <v>8.0</v>
      </c>
      <c r="H2" s="65" t="s">
        <v>419</v>
      </c>
      <c r="I2" s="32"/>
      <c r="J2" s="32"/>
      <c r="K2" s="32"/>
      <c r="L2" s="66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3.5" customHeight="1">
      <c r="A3" s="55"/>
      <c r="B3" s="63" t="s">
        <v>420</v>
      </c>
      <c r="C3" s="67">
        <f t="shared" ref="C3:G3" si="1">C2*1/3*90+C2*1/3*120+C2*1/3*150</f>
        <v>480</v>
      </c>
      <c r="D3" s="67">
        <f t="shared" si="1"/>
        <v>600</v>
      </c>
      <c r="E3" s="67">
        <f t="shared" si="1"/>
        <v>720</v>
      </c>
      <c r="F3" s="67">
        <f t="shared" si="1"/>
        <v>840</v>
      </c>
      <c r="G3" s="67">
        <f t="shared" si="1"/>
        <v>960</v>
      </c>
      <c r="H3" s="65" t="s">
        <v>421</v>
      </c>
      <c r="I3" s="32"/>
      <c r="J3" s="32"/>
      <c r="K3" s="32"/>
      <c r="L3" s="66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3.5" customHeight="1">
      <c r="A4" s="55"/>
      <c r="B4" s="63" t="s">
        <v>422</v>
      </c>
      <c r="C4" s="68">
        <v>0.5</v>
      </c>
      <c r="D4" s="68">
        <v>0.5</v>
      </c>
      <c r="E4" s="68">
        <v>0.75</v>
      </c>
      <c r="F4" s="68">
        <v>0.75</v>
      </c>
      <c r="G4" s="68">
        <v>0.75</v>
      </c>
      <c r="H4" s="65" t="s">
        <v>423</v>
      </c>
      <c r="I4" s="32"/>
      <c r="J4" s="32"/>
      <c r="K4" s="32"/>
      <c r="L4" s="66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3.5" customHeight="1">
      <c r="A5" s="55"/>
      <c r="B5" s="63" t="s">
        <v>424</v>
      </c>
      <c r="C5" s="67">
        <f t="shared" ref="C5:G5" si="2">C3*C4</f>
        <v>240</v>
      </c>
      <c r="D5" s="67">
        <f t="shared" si="2"/>
        <v>300</v>
      </c>
      <c r="E5" s="67">
        <f t="shared" si="2"/>
        <v>540</v>
      </c>
      <c r="F5" s="67">
        <f t="shared" si="2"/>
        <v>630</v>
      </c>
      <c r="G5" s="67">
        <f t="shared" si="2"/>
        <v>720</v>
      </c>
      <c r="H5" s="65" t="s">
        <v>425</v>
      </c>
      <c r="I5" s="32"/>
      <c r="J5" s="32"/>
      <c r="K5" s="32"/>
      <c r="L5" s="66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3.5" customHeight="1">
      <c r="A6" s="55"/>
      <c r="B6" s="63" t="s">
        <v>426</v>
      </c>
      <c r="C6" s="69">
        <f t="shared" ref="C6:G6" si="3">C5/660*10</f>
        <v>3.636363636</v>
      </c>
      <c r="D6" s="69">
        <f t="shared" si="3"/>
        <v>4.545454545</v>
      </c>
      <c r="E6" s="69">
        <f t="shared" si="3"/>
        <v>8.181818182</v>
      </c>
      <c r="F6" s="69">
        <f t="shared" si="3"/>
        <v>9.545454545</v>
      </c>
      <c r="G6" s="69">
        <f t="shared" si="3"/>
        <v>10.90909091</v>
      </c>
      <c r="H6" s="70">
        <v>0.7</v>
      </c>
      <c r="I6" s="71" t="s">
        <v>427</v>
      </c>
      <c r="J6" s="32"/>
      <c r="K6" s="32"/>
      <c r="L6" s="66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3.5" customHeight="1">
      <c r="A7" s="55"/>
      <c r="B7" s="72" t="s">
        <v>428</v>
      </c>
      <c r="C7" s="73">
        <v>6.0</v>
      </c>
      <c r="D7" s="73">
        <v>6.0</v>
      </c>
      <c r="E7" s="73">
        <v>7.0</v>
      </c>
      <c r="F7" s="73">
        <v>7.0</v>
      </c>
      <c r="G7" s="73">
        <v>8.0</v>
      </c>
      <c r="H7" s="74">
        <v>0.3</v>
      </c>
      <c r="I7" s="75" t="s">
        <v>429</v>
      </c>
      <c r="J7" s="76"/>
      <c r="K7" s="76"/>
      <c r="L7" s="77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3.5" customHeight="1">
      <c r="A8" s="55"/>
      <c r="B8" s="78" t="s">
        <v>430</v>
      </c>
      <c r="C8" s="79">
        <f t="shared" ref="C8:G8" si="4">C6*$H$6+C7*$H$7</f>
        <v>4.345454545</v>
      </c>
      <c r="D8" s="79">
        <f t="shared" si="4"/>
        <v>4.981818182</v>
      </c>
      <c r="E8" s="79">
        <f t="shared" si="4"/>
        <v>7.827272727</v>
      </c>
      <c r="F8" s="79">
        <f t="shared" si="4"/>
        <v>8.781818182</v>
      </c>
      <c r="G8" s="79">
        <f t="shared" si="4"/>
        <v>10.03636364</v>
      </c>
      <c r="H8" s="79"/>
      <c r="I8" s="79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3.5" customHeight="1">
      <c r="A9" s="55"/>
      <c r="B9" s="80"/>
      <c r="C9" s="81"/>
      <c r="D9" s="81"/>
      <c r="E9" s="81"/>
      <c r="F9" s="81"/>
      <c r="G9" s="81"/>
      <c r="H9" s="81"/>
      <c r="I9" s="8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3.5" customHeight="1">
      <c r="A10" s="55"/>
      <c r="B10" s="82" t="s">
        <v>431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3.5" customHeight="1">
      <c r="A11" s="55"/>
      <c r="B11" s="83" t="s">
        <v>432</v>
      </c>
      <c r="C11" s="84" t="s">
        <v>433</v>
      </c>
      <c r="D11" s="85" t="s">
        <v>434</v>
      </c>
      <c r="E11" s="85" t="s">
        <v>435</v>
      </c>
      <c r="F11" s="85" t="s">
        <v>436</v>
      </c>
      <c r="G11" s="85" t="s">
        <v>437</v>
      </c>
      <c r="H11" s="85" t="s">
        <v>438</v>
      </c>
      <c r="I11" s="85" t="s">
        <v>439</v>
      </c>
      <c r="J11" s="55"/>
      <c r="K11" s="86" t="s">
        <v>9</v>
      </c>
      <c r="L11" s="86" t="s">
        <v>440</v>
      </c>
      <c r="M11" s="86" t="s">
        <v>441</v>
      </c>
      <c r="N11" s="86" t="s">
        <v>10</v>
      </c>
      <c r="O11" s="87" t="s">
        <v>417</v>
      </c>
      <c r="P11" s="33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3.5" customHeight="1">
      <c r="A12" s="55"/>
      <c r="B12" s="88" t="s">
        <v>442</v>
      </c>
      <c r="C12" s="67">
        <v>60.0</v>
      </c>
      <c r="D12" s="89">
        <v>90.0</v>
      </c>
      <c r="E12" s="89">
        <v>120.0</v>
      </c>
      <c r="F12" s="89">
        <v>150.0</v>
      </c>
      <c r="G12" s="89">
        <v>180.0</v>
      </c>
      <c r="H12" s="90">
        <v>210.0</v>
      </c>
      <c r="I12" s="91">
        <v>240.0</v>
      </c>
      <c r="J12" s="55"/>
      <c r="K12" s="92" t="s">
        <v>433</v>
      </c>
      <c r="L12" s="93" t="s">
        <v>443</v>
      </c>
      <c r="M12" s="94">
        <v>2.0</v>
      </c>
      <c r="N12" s="94">
        <v>60.0</v>
      </c>
      <c r="O12" s="95" t="str">
        <f t="shared" ref="O12:O18" si="5">L12 &amp; " fields OR " &amp; M12 &amp; " trans"</f>
        <v>3-5 fields OR 2 trans</v>
      </c>
      <c r="P12" s="33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92" t="s">
        <v>434</v>
      </c>
      <c r="L13" s="93" t="s">
        <v>444</v>
      </c>
      <c r="M13" s="94">
        <v>3.0</v>
      </c>
      <c r="N13" s="94">
        <v>90.0</v>
      </c>
      <c r="O13" s="95" t="str">
        <f t="shared" si="5"/>
        <v>6-7 fields OR 3 trans</v>
      </c>
      <c r="P13" s="33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3.5" customHeight="1">
      <c r="A14" s="55"/>
      <c r="B14" s="82" t="s">
        <v>445</v>
      </c>
      <c r="C14" s="55"/>
      <c r="D14" s="55"/>
      <c r="E14" s="55"/>
      <c r="F14" s="55"/>
      <c r="G14" s="55"/>
      <c r="H14" s="55"/>
      <c r="I14" s="55"/>
      <c r="J14" s="55"/>
      <c r="K14" s="92" t="s">
        <v>435</v>
      </c>
      <c r="L14" s="93" t="s">
        <v>446</v>
      </c>
      <c r="M14" s="94">
        <v>4.0</v>
      </c>
      <c r="N14" s="94">
        <v>120.0</v>
      </c>
      <c r="O14" s="95" t="str">
        <f t="shared" si="5"/>
        <v>8-9 fields OR 4 trans</v>
      </c>
      <c r="P14" s="33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3.5" customHeight="1">
      <c r="A15" s="55"/>
      <c r="B15" s="96" t="s">
        <v>447</v>
      </c>
      <c r="C15" s="55"/>
      <c r="D15" s="55"/>
      <c r="E15" s="55"/>
      <c r="F15" s="55"/>
      <c r="G15" s="55"/>
      <c r="H15" s="55"/>
      <c r="I15" s="55"/>
      <c r="J15" s="55"/>
      <c r="K15" s="92" t="s">
        <v>436</v>
      </c>
      <c r="L15" s="93" t="s">
        <v>448</v>
      </c>
      <c r="M15" s="94">
        <v>5.0</v>
      </c>
      <c r="N15" s="94">
        <v>150.0</v>
      </c>
      <c r="O15" s="95" t="str">
        <f t="shared" si="5"/>
        <v>10-11 fields OR 5 trans</v>
      </c>
      <c r="P15" s="33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3.5" customHeight="1">
      <c r="A16" s="55"/>
      <c r="B16" s="97" t="s">
        <v>449</v>
      </c>
      <c r="C16" s="55"/>
      <c r="D16" s="55"/>
      <c r="E16" s="55"/>
      <c r="F16" s="55"/>
      <c r="G16" s="55"/>
      <c r="H16" s="55"/>
      <c r="I16" s="55"/>
      <c r="J16" s="55"/>
      <c r="K16" s="92" t="s">
        <v>437</v>
      </c>
      <c r="L16" s="93" t="s">
        <v>450</v>
      </c>
      <c r="M16" s="94">
        <v>6.0</v>
      </c>
      <c r="N16" s="94">
        <v>180.0</v>
      </c>
      <c r="O16" s="95" t="str">
        <f t="shared" si="5"/>
        <v>12-13 fields OR 6 trans</v>
      </c>
      <c r="P16" s="33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3.5" customHeight="1">
      <c r="A17" s="55"/>
      <c r="B17" s="97" t="s">
        <v>451</v>
      </c>
      <c r="C17" s="55"/>
      <c r="D17" s="55"/>
      <c r="E17" s="55"/>
      <c r="F17" s="55"/>
      <c r="G17" s="55"/>
      <c r="H17" s="55"/>
      <c r="I17" s="55"/>
      <c r="J17" s="55"/>
      <c r="K17" s="92" t="s">
        <v>438</v>
      </c>
      <c r="L17" s="93" t="s">
        <v>452</v>
      </c>
      <c r="M17" s="94">
        <v>7.0</v>
      </c>
      <c r="N17" s="94">
        <v>210.0</v>
      </c>
      <c r="O17" s="95" t="str">
        <f t="shared" si="5"/>
        <v>14-15 fields OR 7 trans</v>
      </c>
      <c r="P17" s="33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3.5" customHeight="1">
      <c r="A18" s="55"/>
      <c r="B18" s="96" t="s">
        <v>453</v>
      </c>
      <c r="C18" s="55"/>
      <c r="D18" s="55"/>
      <c r="E18" s="55"/>
      <c r="F18" s="55"/>
      <c r="G18" s="55"/>
      <c r="H18" s="55"/>
      <c r="I18" s="55"/>
      <c r="J18" s="55"/>
      <c r="K18" s="92" t="s">
        <v>439</v>
      </c>
      <c r="L18" s="94" t="s">
        <v>454</v>
      </c>
      <c r="M18" s="94" t="s">
        <v>455</v>
      </c>
      <c r="N18" s="94">
        <v>240.0</v>
      </c>
      <c r="O18" s="95" t="str">
        <f t="shared" si="5"/>
        <v>&gt;15 fields OR &gt;7 trans</v>
      </c>
      <c r="P18" s="33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3.5" customHeight="1">
      <c r="A19" s="55"/>
      <c r="B19" s="96" t="s">
        <v>456</v>
      </c>
      <c r="C19" s="55"/>
      <c r="D19" s="55"/>
      <c r="E19" s="55"/>
      <c r="F19" s="55"/>
      <c r="G19" s="55"/>
      <c r="H19" s="55"/>
      <c r="I19" s="55"/>
      <c r="J19" s="55"/>
      <c r="K19" s="55" t="s">
        <v>457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3.5" customHeight="1">
      <c r="A20" s="55"/>
      <c r="B20" s="98" t="s">
        <v>432</v>
      </c>
      <c r="C20" s="84" t="s">
        <v>433</v>
      </c>
      <c r="D20" s="85" t="s">
        <v>434</v>
      </c>
      <c r="E20" s="85" t="s">
        <v>435</v>
      </c>
      <c r="F20" s="85" t="s">
        <v>436</v>
      </c>
      <c r="G20" s="85" t="s">
        <v>437</v>
      </c>
      <c r="H20" s="85" t="s">
        <v>438</v>
      </c>
      <c r="I20" s="85" t="s">
        <v>439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3.5" customHeight="1">
      <c r="A21" s="55"/>
      <c r="B21" s="99" t="s">
        <v>458</v>
      </c>
      <c r="C21" s="94">
        <v>2.0</v>
      </c>
      <c r="D21" s="94">
        <v>3.0</v>
      </c>
      <c r="E21" s="94">
        <v>4.0</v>
      </c>
      <c r="F21" s="94">
        <v>5.0</v>
      </c>
      <c r="G21" s="94">
        <v>6.0</v>
      </c>
      <c r="H21" s="94">
        <v>7.0</v>
      </c>
      <c r="I21" s="94" t="s">
        <v>455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3.5" customHeight="1">
      <c r="A22" s="55"/>
      <c r="B22" s="15"/>
      <c r="C22" s="100" t="s">
        <v>459</v>
      </c>
      <c r="D22" s="32"/>
      <c r="E22" s="32"/>
      <c r="F22" s="32"/>
      <c r="G22" s="32"/>
      <c r="H22" s="32"/>
      <c r="I22" s="33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3.5" customHeight="1">
      <c r="A23" s="55"/>
      <c r="B23" s="101" t="s">
        <v>460</v>
      </c>
      <c r="C23" s="102" t="s">
        <v>443</v>
      </c>
      <c r="D23" s="103" t="s">
        <v>444</v>
      </c>
      <c r="E23" s="102" t="s">
        <v>446</v>
      </c>
      <c r="F23" s="102" t="s">
        <v>448</v>
      </c>
      <c r="G23" s="102" t="s">
        <v>450</v>
      </c>
      <c r="H23" s="102" t="s">
        <v>452</v>
      </c>
      <c r="I23" s="102" t="s">
        <v>454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3.5" customHeight="1">
      <c r="A25" s="55"/>
      <c r="B25" s="82" t="s">
        <v>461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3.5" customHeight="1">
      <c r="A26" s="55"/>
      <c r="B26" s="98" t="s">
        <v>9</v>
      </c>
      <c r="C26" s="84" t="s">
        <v>462</v>
      </c>
      <c r="D26" s="104" t="s">
        <v>417</v>
      </c>
      <c r="E26" s="32"/>
      <c r="F26" s="32"/>
      <c r="G26" s="32"/>
      <c r="H26" s="32"/>
      <c r="I26" s="32"/>
      <c r="J26" s="32"/>
      <c r="K26" s="33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3.5" customHeight="1">
      <c r="A27" s="55"/>
      <c r="B27" s="105" t="s">
        <v>463</v>
      </c>
      <c r="C27" s="106">
        <v>0.5</v>
      </c>
      <c r="D27" s="95" t="s">
        <v>464</v>
      </c>
      <c r="E27" s="32"/>
      <c r="F27" s="32"/>
      <c r="G27" s="32"/>
      <c r="H27" s="32"/>
      <c r="I27" s="32"/>
      <c r="J27" s="32"/>
      <c r="K27" s="33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3.5" customHeight="1">
      <c r="A28" s="55"/>
      <c r="B28" s="105" t="s">
        <v>465</v>
      </c>
      <c r="C28" s="106">
        <v>0.75</v>
      </c>
      <c r="D28" s="95" t="s">
        <v>466</v>
      </c>
      <c r="E28" s="32"/>
      <c r="F28" s="32"/>
      <c r="G28" s="32"/>
      <c r="H28" s="32"/>
      <c r="I28" s="32"/>
      <c r="J28" s="32"/>
      <c r="K28" s="33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25.5" customHeight="1">
      <c r="A29" s="55"/>
      <c r="B29" s="105" t="s">
        <v>467</v>
      </c>
      <c r="C29" s="106">
        <v>1.0</v>
      </c>
      <c r="D29" s="107" t="s">
        <v>468</v>
      </c>
      <c r="E29" s="32"/>
      <c r="F29" s="32"/>
      <c r="G29" s="32"/>
      <c r="H29" s="32"/>
      <c r="I29" s="32"/>
      <c r="J29" s="32"/>
      <c r="K29" s="33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3.5" customHeight="1">
      <c r="A31" s="55"/>
      <c r="B31" s="82" t="s">
        <v>469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3.5" customHeight="1">
      <c r="A32" s="55"/>
      <c r="B32" s="108" t="s">
        <v>470</v>
      </c>
      <c r="C32" s="55"/>
      <c r="D32" s="55"/>
      <c r="E32" s="55"/>
      <c r="F32" s="55"/>
      <c r="G32" s="55"/>
      <c r="H32" s="55"/>
      <c r="I32" s="55"/>
      <c r="J32" s="55"/>
      <c r="K32" s="108" t="s">
        <v>471</v>
      </c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3.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3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3.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3.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3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3.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3.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3.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3.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3.5" customHeight="1">
      <c r="A45" s="55"/>
      <c r="B45" s="108" t="s">
        <v>472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3.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3.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3.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3.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3.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3.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3.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3.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3.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3.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3.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3.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3.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3.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3.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3.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3.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3.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3.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3.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3.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3.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3.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3.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3.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3.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3.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3.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3.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3.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3.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3.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3.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3.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3.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3.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3.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3.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3.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3.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3.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3.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3.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3.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3.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3.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3.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3.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3.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3.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3.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3.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3.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3.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3.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3.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3.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3.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3.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3.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3.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3.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3.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3.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3.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3.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3.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3.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3.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3.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3.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3.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3.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3.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3.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3.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3.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3.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3.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3.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3.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3.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3.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3.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3.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3.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3.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3.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3.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3.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3.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3.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3.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3.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3.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3.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3.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3.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3.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3.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3.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3.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3.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3.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3.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3.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3.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3.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3.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3.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3.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3.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3.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3.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3.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3.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3.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3.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3.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3.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3.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3.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3.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3.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3.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3.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3.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3.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3.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3.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3.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3.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3.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3.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3.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3.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3.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3.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3.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3.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3.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3.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3.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3.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3.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3.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3.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3.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3.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3.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3.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3.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3.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3.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3.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3.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3.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3.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3.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3.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3.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3.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3.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3.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3.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3.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3.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3.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3.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3.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3.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3.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3.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3.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3.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3.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3.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3.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3.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3.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3.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3.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3.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3.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3.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3.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3.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3.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3.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3.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3.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3.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3.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3.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3.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3.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3.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3.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3.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3.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3.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3.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3.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3.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3.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3.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3.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3.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3.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3.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3.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3.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3.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3.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3.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3.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3.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3.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3.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3.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3.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3.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3.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3.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3.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3.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3.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3.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3.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3.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3.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3.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3.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3.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3.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3.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3.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3.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3.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3.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3.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3.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3.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3.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3.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3.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3.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3.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3.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3.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3.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3.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3.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3.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3.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3.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3.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3.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3.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3.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3.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3.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3.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3.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3.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3.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3.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3.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3.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3.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3.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3.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3.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3.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3.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3.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3.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3.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3.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3.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3.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3.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3.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3.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3.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3.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3.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3.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3.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3.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3.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3.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3.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3.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3.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3.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3.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3.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3.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3.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3.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3.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3.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3.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3.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3.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3.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3.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3.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3.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3.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3.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3.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3.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3.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3.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3.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3.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3.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3.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3.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3.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3.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3.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3.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3.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3.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3.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3.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3.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3.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3.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3.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3.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3.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3.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3.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3.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3.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3.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3.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3.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3.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3.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3.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3.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3.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3.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3.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3.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3.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3.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3.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3.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3.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3.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3.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3.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3.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3.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3.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3.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3.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3.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3.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3.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3.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3.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3.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3.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3.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3.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3.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3.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3.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3.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3.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3.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3.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3.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3.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3.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3.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3.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3.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3.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3.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3.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3.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3.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3.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3.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3.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3.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3.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3.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3.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3.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3.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3.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3.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3.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3.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3.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3.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3.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3.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3.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3.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3.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3.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3.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3.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3.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3.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3.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3.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3.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3.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3.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3.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3.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3.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3.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3.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3.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3.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3.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3.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3.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3.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3.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3.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3.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3.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3.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3.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3.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3.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3.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3.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3.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3.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3.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3.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3.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3.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3.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3.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3.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3.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3.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3.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3.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3.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3.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3.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3.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3.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3.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3.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3.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3.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3.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3.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3.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3.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3.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3.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3.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3.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3.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3.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3.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3.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3.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3.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3.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3.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3.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3.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3.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3.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3.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3.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3.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3.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3.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3.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3.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3.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3.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3.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3.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3.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3.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3.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3.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3.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3.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3.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3.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3.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3.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3.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3.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3.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3.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3.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3.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3.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3.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3.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3.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3.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3.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3.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3.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3.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3.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3.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3.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3.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3.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3.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3.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3.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3.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3.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3.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3.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3.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3.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3.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3.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3.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3.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3.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3.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3.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3.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3.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3.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3.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3.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3.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3.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3.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3.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3.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3.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3.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3.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3.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3.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3.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3.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3.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3.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3.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3.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3.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3.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3.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3.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3.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3.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3.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3.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3.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3.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3.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3.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3.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3.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3.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3.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3.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3.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3.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3.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3.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3.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3.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3.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3.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3.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3.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3.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3.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3.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3.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3.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3.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3.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3.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3.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3.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3.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3.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3.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3.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3.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3.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3.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3.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3.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3.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3.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3.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3.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3.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3.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3.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3.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3.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3.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3.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3.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3.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3.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3.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3.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3.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3.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3.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3.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3.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3.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3.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3.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3.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3.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3.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3.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3.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3.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3.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3.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3.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3.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3.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3.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3.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3.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3.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3.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3.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3.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3.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3.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3.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3.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3.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3.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3.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3.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3.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3.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3.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3.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3.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3.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3.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3.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3.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3.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3.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3.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3.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3.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3.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3.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3.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3.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3.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3.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3.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3.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3.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3.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3.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3.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3.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3.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3.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3.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3.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3.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3.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3.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3.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3.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3.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3.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3.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3.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3.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3.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3.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3.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3.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3.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3.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3.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3.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3.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3.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3.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3.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3.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3.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3.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3.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3.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3.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3.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3.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3.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3.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3.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3.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3.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3.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3.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3.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3.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3.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3.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3.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3.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3.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3.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3.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3.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3.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3.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3.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3.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3.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3.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3.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3.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3.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3.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3.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3.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3.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3.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3.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3.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3.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3.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3.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3.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3.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3.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3.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3.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3.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3.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3.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3.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3.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3.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3.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3.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3.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3.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3.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3.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3.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3.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3.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3.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3.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3.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3.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3.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3.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3.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3.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3.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3.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3.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3.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3.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3.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3.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3.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3.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3.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3.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3.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3.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3.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3.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3.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3.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3.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3.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3.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3.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3.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3.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3.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3.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3.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3.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3.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3.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3.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3.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3.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3.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3.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3.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3.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3.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3.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3.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3.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3.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3.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3.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3.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3.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3.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3.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3.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3.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3.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3.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3.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3.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3.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3.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3.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3.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3.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3.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3.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3.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3.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3.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3.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3.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3.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3.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3.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3.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3.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3.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3.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3.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3.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3.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3.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3.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3.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3.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3.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3.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3.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3.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3.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3.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3.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3.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3.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3.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3.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3.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3.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3.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3.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3.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3.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3.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3.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3.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3.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3.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3.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3.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3.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3.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3.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3.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3.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3.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3.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3.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3.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3.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3.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3.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3.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3.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3.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3.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3.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3.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3.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3.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3.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3.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3.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3.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3.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3.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3.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3.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3.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3.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3.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3.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3.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3.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3.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3.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3.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3.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3.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3.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3.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3.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3.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3.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3.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3.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3.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3.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3.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3.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3.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3.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3.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3.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3.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3.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3.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3.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3.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3.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3.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3.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3.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3.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3.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3.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3.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3.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3.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3.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2">
    <mergeCell ref="D1:F1"/>
    <mergeCell ref="H1:L1"/>
    <mergeCell ref="H2:L2"/>
    <mergeCell ref="H3:L3"/>
    <mergeCell ref="H4:L4"/>
    <mergeCell ref="H5:L5"/>
    <mergeCell ref="I6:L6"/>
    <mergeCell ref="O17:P17"/>
    <mergeCell ref="O18:P18"/>
    <mergeCell ref="B21:B22"/>
    <mergeCell ref="C22:I22"/>
    <mergeCell ref="D26:K26"/>
    <mergeCell ref="D27:K27"/>
    <mergeCell ref="D28:K28"/>
    <mergeCell ref="D29:K29"/>
    <mergeCell ref="I7:L7"/>
    <mergeCell ref="O11:P11"/>
    <mergeCell ref="O12:P12"/>
    <mergeCell ref="O13:P13"/>
    <mergeCell ref="O14:P14"/>
    <mergeCell ref="O15:P15"/>
    <mergeCell ref="O16:P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75"/>
    <col customWidth="1" min="2" max="26" width="14.5"/>
  </cols>
  <sheetData>
    <row r="1">
      <c r="A1" s="109" t="s">
        <v>473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110"/>
      <c r="B2" s="55"/>
      <c r="C2" s="55"/>
      <c r="D2" s="55"/>
      <c r="E2" s="55"/>
      <c r="F2" s="55"/>
      <c r="G2" s="55"/>
      <c r="H2" s="55"/>
      <c r="I2" s="55"/>
      <c r="J2" s="55" t="s">
        <v>474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0" customHeight="1">
      <c r="A3" s="110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110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110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110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0" customHeight="1">
      <c r="A7" s="110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0" customHeight="1">
      <c r="A8" s="110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0" customHeight="1">
      <c r="A9" s="110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0" customHeight="1">
      <c r="A10" s="110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0" customHeight="1">
      <c r="A11" s="110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0" customHeight="1">
      <c r="A12" s="110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110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110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0" customHeight="1">
      <c r="A15" s="110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0" customHeight="1">
      <c r="A16" s="110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0" customHeight="1">
      <c r="A17" s="110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0" customHeight="1">
      <c r="A18" s="110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0" customHeight="1">
      <c r="A19" s="110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0" customHeight="1">
      <c r="A20" s="110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0" customHeight="1">
      <c r="A21" s="110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0" customHeight="1">
      <c r="A22" s="110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0" customHeight="1">
      <c r="A23" s="110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0" customHeight="1">
      <c r="A24" s="110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0" customHeight="1">
      <c r="A25" s="110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0" customHeight="1">
      <c r="A26" s="110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0" customHeight="1">
      <c r="A27" s="110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0" customHeight="1">
      <c r="A28" s="110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0" customHeight="1">
      <c r="A29" s="110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0" customHeight="1">
      <c r="A30" s="110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0" customHeight="1">
      <c r="A31" s="110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0" customHeight="1">
      <c r="A32" s="110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0" customHeight="1">
      <c r="A33" s="110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110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5.75" customHeight="1">
      <c r="A35" s="112" t="s">
        <v>475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0" customHeight="1">
      <c r="A36" s="110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0" customHeight="1">
      <c r="A37" s="110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110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110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110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0" customHeight="1">
      <c r="A41" s="110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0" customHeight="1">
      <c r="A42" s="110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0" customHeight="1">
      <c r="A43" s="110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0" customHeight="1">
      <c r="A44" s="110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0" customHeight="1">
      <c r="A45" s="110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0" customHeight="1">
      <c r="A46" s="110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0" customHeight="1">
      <c r="A47" s="110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0" customHeight="1">
      <c r="A48" s="110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0" customHeight="1">
      <c r="A49" s="110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0" customHeight="1">
      <c r="A50" s="110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0" customHeight="1">
      <c r="A51" s="110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0" customHeight="1">
      <c r="A52" s="110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0" customHeight="1">
      <c r="A53" s="110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0" customHeight="1">
      <c r="A54" s="110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0" customHeight="1">
      <c r="A55" s="110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0" customHeight="1">
      <c r="A56" s="110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0" customHeight="1">
      <c r="A57" s="110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0" customHeight="1">
      <c r="A58" s="110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0" customHeight="1">
      <c r="A59" s="110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0" customHeight="1">
      <c r="A60" s="110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0" customHeight="1">
      <c r="A61" s="110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0" customHeight="1">
      <c r="A62" s="110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0" customHeight="1">
      <c r="A63" s="110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0" customHeight="1">
      <c r="A64" s="110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0" customHeight="1">
      <c r="A65" s="110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0" customHeight="1">
      <c r="A66" s="110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0" customHeight="1">
      <c r="A67" s="110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0" customHeight="1">
      <c r="A68" s="110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110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5.75" customHeight="1">
      <c r="A70" s="113" t="s">
        <v>476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0" customHeight="1">
      <c r="A71" s="110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0" customHeight="1">
      <c r="A72" s="110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0" customHeight="1">
      <c r="A73" s="110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0" customHeight="1">
      <c r="A74" s="110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0" customHeight="1">
      <c r="A75" s="110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0" customHeight="1">
      <c r="A76" s="110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0" customHeight="1">
      <c r="A77" s="110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0" customHeight="1">
      <c r="A78" s="110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0" customHeight="1">
      <c r="A79" s="110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0" customHeight="1">
      <c r="A80" s="110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0" customHeight="1">
      <c r="A81" s="110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0" customHeight="1">
      <c r="A82" s="110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0" customHeight="1">
      <c r="A83" s="110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0" customHeight="1">
      <c r="A84" s="110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0" customHeight="1">
      <c r="A85" s="110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0" customHeight="1">
      <c r="A86" s="110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0" customHeight="1">
      <c r="A87" s="110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0" customHeight="1">
      <c r="A88" s="110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0" customHeight="1">
      <c r="A89" s="110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0" customHeight="1">
      <c r="A90" s="110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0" customHeight="1">
      <c r="A91" s="110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0" customHeight="1">
      <c r="A92" s="110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0" customHeight="1">
      <c r="A93" s="110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0" customHeight="1">
      <c r="A94" s="110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0" customHeight="1">
      <c r="A95" s="110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0" customHeight="1">
      <c r="A96" s="110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0" customHeight="1">
      <c r="A97" s="110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0" customHeight="1">
      <c r="A98" s="110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0" customHeight="1">
      <c r="A99" s="110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0" customHeight="1">
      <c r="A100" s="110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0" customHeight="1">
      <c r="A101" s="110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0" customHeight="1">
      <c r="A102" s="110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0" customHeight="1">
      <c r="A103" s="110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0" customHeight="1">
      <c r="A104" s="110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0" customHeight="1">
      <c r="A105" s="110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0" customHeight="1">
      <c r="A106" s="110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0" customHeight="1">
      <c r="A107" s="110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0" customHeight="1">
      <c r="A108" s="110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3">
    <mergeCell ref="A1:A34"/>
    <mergeCell ref="A35:A69"/>
    <mergeCell ref="A70:A10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2021-07-20T01:09:05Z</dcterms:created>
  <dc:creator>KienNT</dc:creator>
</cp:coreProperties>
</file>